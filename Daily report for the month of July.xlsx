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bh\Downloads\prem\"/>
    </mc:Choice>
  </mc:AlternateContent>
  <xr:revisionPtr revIDLastSave="0" documentId="13_ncr:1_{32D37CF2-0FA6-42AE-8AC8-DE6D3E44820E}" xr6:coauthVersionLast="47" xr6:coauthVersionMax="47" xr10:uidLastSave="{00000000-0000-0000-0000-000000000000}"/>
  <bookViews>
    <workbookView xWindow="-108" yWindow="-108" windowWidth="23256" windowHeight="13176" tabRatio="762" firstSheet="1" activeTab="9" xr2:uid="{00000000-000D-0000-FFFF-FFFF00000000}"/>
  </bookViews>
  <sheets>
    <sheet name="6 &amp; 7 COLOUR PRINTING ROLLER" sheetId="10" r:id="rId1"/>
    <sheet name="01.07.2026" sheetId="13" r:id="rId2"/>
    <sheet name="04.07.2026" sheetId="14" r:id="rId3"/>
    <sheet name="05.07.2026" sheetId="17" r:id="rId4"/>
    <sheet name="06.07.2026" sheetId="18" r:id="rId5"/>
    <sheet name="07.07.2026" sheetId="21" r:id="rId6"/>
    <sheet name="08.07.2026" sheetId="20" r:id="rId7"/>
    <sheet name="13.07.2026" sheetId="19" r:id="rId8"/>
    <sheet name="14.07.2026" sheetId="22" r:id="rId9"/>
    <sheet name="15.07.2026" sheetId="23" r:id="rId10"/>
    <sheet name="16.07.2026" sheetId="25" r:id="rId11"/>
    <sheet name="24.06.2026" sheetId="26" r:id="rId12"/>
    <sheet name="25.06.2026" sheetId="24" r:id="rId13"/>
    <sheet name="26.06.2026" sheetId="28" r:id="rId14"/>
    <sheet name="27.06.2026" sheetId="27" r:id="rId15"/>
    <sheet name="30.06.2026" sheetId="29" r:id="rId16"/>
    <sheet name="Sheet5" sheetId="30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25" l="1"/>
  <c r="G54" i="25" s="1"/>
  <c r="E51" i="25"/>
  <c r="G51" i="25" s="1"/>
  <c r="G48" i="25"/>
  <c r="E48" i="25"/>
  <c r="E45" i="25"/>
  <c r="G45" i="25" s="1"/>
  <c r="E43" i="25"/>
  <c r="G43" i="25" s="1"/>
  <c r="E42" i="25"/>
  <c r="G42" i="25" s="1"/>
  <c r="E40" i="25"/>
  <c r="G40" i="25" s="1"/>
  <c r="E39" i="25"/>
  <c r="G39" i="25" s="1"/>
  <c r="E37" i="25"/>
  <c r="G37" i="25" s="1"/>
  <c r="E36" i="25"/>
  <c r="G36" i="25" s="1"/>
  <c r="G34" i="25"/>
  <c r="E34" i="25"/>
  <c r="E33" i="25"/>
  <c r="G33" i="25" s="1"/>
  <c r="E32" i="25"/>
  <c r="G32" i="25" s="1"/>
  <c r="E31" i="25"/>
  <c r="G31" i="25" s="1"/>
  <c r="E29" i="25"/>
  <c r="G29" i="25" s="1"/>
  <c r="E28" i="25"/>
  <c r="G28" i="25" s="1"/>
  <c r="E27" i="25"/>
  <c r="G27" i="25" s="1"/>
  <c r="E26" i="25"/>
  <c r="G26" i="25" s="1"/>
  <c r="E24" i="25"/>
  <c r="G24" i="25" s="1"/>
  <c r="E23" i="25"/>
  <c r="G23" i="25" s="1"/>
  <c r="E22" i="25"/>
  <c r="G22" i="25" s="1"/>
  <c r="E21" i="25"/>
  <c r="G21" i="25" s="1"/>
  <c r="E19" i="25"/>
  <c r="G19" i="25" s="1"/>
  <c r="E18" i="25"/>
  <c r="G18" i="25" s="1"/>
  <c r="E17" i="25"/>
  <c r="G17" i="25" s="1"/>
  <c r="E16" i="25"/>
  <c r="G16" i="25" s="1"/>
  <c r="E14" i="25"/>
  <c r="G14" i="25" s="1"/>
  <c r="E12" i="25"/>
  <c r="G12" i="25" s="1"/>
  <c r="E11" i="25"/>
  <c r="G11" i="25" s="1"/>
  <c r="G9" i="25"/>
  <c r="E7" i="25"/>
  <c r="G7" i="25" s="1"/>
  <c r="F8" i="25" s="1"/>
  <c r="E6" i="25"/>
  <c r="G6" i="25" s="1"/>
  <c r="D8" i="25" s="1"/>
  <c r="E29" i="23"/>
  <c r="G29" i="23" s="1"/>
  <c r="E28" i="23"/>
  <c r="G28" i="23" s="1"/>
  <c r="E27" i="23"/>
  <c r="G27" i="23" s="1"/>
  <c r="E26" i="23"/>
  <c r="G26" i="23" s="1"/>
  <c r="E54" i="23"/>
  <c r="G54" i="23" s="1"/>
  <c r="E51" i="23"/>
  <c r="G51" i="23" s="1"/>
  <c r="E48" i="23"/>
  <c r="G48" i="23" s="1"/>
  <c r="E45" i="23"/>
  <c r="G45" i="23" s="1"/>
  <c r="E43" i="23"/>
  <c r="G43" i="23" s="1"/>
  <c r="E42" i="23"/>
  <c r="G42" i="23" s="1"/>
  <c r="E40" i="23"/>
  <c r="G40" i="23" s="1"/>
  <c r="E39" i="23"/>
  <c r="G39" i="23" s="1"/>
  <c r="E37" i="23"/>
  <c r="G37" i="23" s="1"/>
  <c r="E36" i="23"/>
  <c r="G36" i="23" s="1"/>
  <c r="E34" i="23"/>
  <c r="G34" i="23" s="1"/>
  <c r="E33" i="23"/>
  <c r="G33" i="23" s="1"/>
  <c r="E32" i="23"/>
  <c r="G32" i="23" s="1"/>
  <c r="E31" i="23"/>
  <c r="G31" i="23" s="1"/>
  <c r="E24" i="23"/>
  <c r="G24" i="23" s="1"/>
  <c r="E23" i="23"/>
  <c r="G23" i="23" s="1"/>
  <c r="E22" i="23"/>
  <c r="G22" i="23" s="1"/>
  <c r="E21" i="23"/>
  <c r="G21" i="23" s="1"/>
  <c r="E19" i="23"/>
  <c r="G19" i="23" s="1"/>
  <c r="E18" i="23"/>
  <c r="G18" i="23" s="1"/>
  <c r="E17" i="23"/>
  <c r="G17" i="23" s="1"/>
  <c r="E16" i="23"/>
  <c r="G16" i="23" s="1"/>
  <c r="E14" i="23"/>
  <c r="G14" i="23" s="1"/>
  <c r="E12" i="23"/>
  <c r="G12" i="23" s="1"/>
  <c r="E11" i="23"/>
  <c r="G11" i="23" s="1"/>
  <c r="G9" i="23"/>
  <c r="E7" i="23"/>
  <c r="G7" i="23" s="1"/>
  <c r="F8" i="23" s="1"/>
  <c r="E6" i="23"/>
  <c r="G6" i="23" s="1"/>
  <c r="D8" i="23" s="1"/>
  <c r="E49" i="22"/>
  <c r="G49" i="22" s="1"/>
  <c r="E46" i="22"/>
  <c r="G46" i="22" s="1"/>
  <c r="G43" i="22"/>
  <c r="E43" i="22"/>
  <c r="E40" i="22"/>
  <c r="G40" i="22" s="1"/>
  <c r="E38" i="22"/>
  <c r="G38" i="22" s="1"/>
  <c r="E37" i="22"/>
  <c r="G37" i="22" s="1"/>
  <c r="E35" i="22"/>
  <c r="G35" i="22" s="1"/>
  <c r="E34" i="22"/>
  <c r="G34" i="22" s="1"/>
  <c r="E32" i="22"/>
  <c r="G32" i="22" s="1"/>
  <c r="E31" i="22"/>
  <c r="G31" i="22" s="1"/>
  <c r="G29" i="22"/>
  <c r="E29" i="22"/>
  <c r="E28" i="22"/>
  <c r="G28" i="22" s="1"/>
  <c r="E27" i="22"/>
  <c r="G27" i="22" s="1"/>
  <c r="E26" i="22"/>
  <c r="G26" i="22" s="1"/>
  <c r="G24" i="22"/>
  <c r="E24" i="22"/>
  <c r="E23" i="22"/>
  <c r="G23" i="22" s="1"/>
  <c r="E22" i="22"/>
  <c r="G22" i="22" s="1"/>
  <c r="E21" i="22"/>
  <c r="G21" i="22" s="1"/>
  <c r="E19" i="22"/>
  <c r="G19" i="22" s="1"/>
  <c r="E18" i="22"/>
  <c r="G18" i="22" s="1"/>
  <c r="E17" i="22"/>
  <c r="G17" i="22" s="1"/>
  <c r="E16" i="22"/>
  <c r="G16" i="22" s="1"/>
  <c r="E14" i="22"/>
  <c r="G14" i="22" s="1"/>
  <c r="E12" i="22"/>
  <c r="G12" i="22" s="1"/>
  <c r="E11" i="22"/>
  <c r="G11" i="22" s="1"/>
  <c r="G9" i="22"/>
  <c r="E7" i="22"/>
  <c r="G7" i="22" s="1"/>
  <c r="F8" i="22" s="1"/>
  <c r="E6" i="22"/>
  <c r="G6" i="22" s="1"/>
  <c r="D8" i="22" s="1"/>
  <c r="E19" i="19"/>
  <c r="G19" i="19" s="1"/>
  <c r="G24" i="19"/>
  <c r="E24" i="19"/>
  <c r="G29" i="19"/>
  <c r="E29" i="19"/>
  <c r="E49" i="19"/>
  <c r="G49" i="19" s="1"/>
  <c r="E46" i="19"/>
  <c r="G46" i="19" s="1"/>
  <c r="G43" i="19"/>
  <c r="E43" i="19"/>
  <c r="E40" i="19"/>
  <c r="G40" i="19" s="1"/>
  <c r="E38" i="19"/>
  <c r="G38" i="19" s="1"/>
  <c r="E37" i="19"/>
  <c r="G37" i="19" s="1"/>
  <c r="E35" i="19"/>
  <c r="G35" i="19" s="1"/>
  <c r="E34" i="19"/>
  <c r="G34" i="19" s="1"/>
  <c r="E32" i="19"/>
  <c r="G32" i="19" s="1"/>
  <c r="E31" i="19"/>
  <c r="G31" i="19" s="1"/>
  <c r="E28" i="19"/>
  <c r="G28" i="19" s="1"/>
  <c r="E27" i="19"/>
  <c r="G27" i="19" s="1"/>
  <c r="E26" i="19"/>
  <c r="G26" i="19" s="1"/>
  <c r="E23" i="19"/>
  <c r="G23" i="19" s="1"/>
  <c r="E22" i="19"/>
  <c r="G22" i="19" s="1"/>
  <c r="E21" i="19"/>
  <c r="G21" i="19" s="1"/>
  <c r="E18" i="19"/>
  <c r="G18" i="19" s="1"/>
  <c r="E17" i="19"/>
  <c r="G17" i="19" s="1"/>
  <c r="E16" i="19"/>
  <c r="G16" i="19" s="1"/>
  <c r="E14" i="19"/>
  <c r="G14" i="19" s="1"/>
  <c r="E12" i="19"/>
  <c r="G12" i="19" s="1"/>
  <c r="E11" i="19"/>
  <c r="G11" i="19" s="1"/>
  <c r="G9" i="19"/>
  <c r="E7" i="19"/>
  <c r="G7" i="19" s="1"/>
  <c r="F8" i="19" s="1"/>
  <c r="E6" i="19"/>
  <c r="G6" i="19" s="1"/>
  <c r="D8" i="19" s="1"/>
  <c r="E49" i="20"/>
  <c r="G49" i="20" s="1"/>
  <c r="E46" i="20"/>
  <c r="G46" i="20" s="1"/>
  <c r="E43" i="20"/>
  <c r="G43" i="20" s="1"/>
  <c r="E40" i="20"/>
  <c r="G40" i="20" s="1"/>
  <c r="E38" i="20"/>
  <c r="G38" i="20" s="1"/>
  <c r="E37" i="20"/>
  <c r="G37" i="20" s="1"/>
  <c r="E35" i="20"/>
  <c r="G35" i="20" s="1"/>
  <c r="E34" i="20"/>
  <c r="G34" i="20" s="1"/>
  <c r="E32" i="20"/>
  <c r="G32" i="20" s="1"/>
  <c r="E31" i="20"/>
  <c r="G31" i="20" s="1"/>
  <c r="E29" i="20"/>
  <c r="G29" i="20" s="1"/>
  <c r="E28" i="20"/>
  <c r="G28" i="20" s="1"/>
  <c r="E27" i="20"/>
  <c r="G27" i="20" s="1"/>
  <c r="E26" i="20"/>
  <c r="G26" i="20" s="1"/>
  <c r="E24" i="20"/>
  <c r="G24" i="20" s="1"/>
  <c r="E23" i="20"/>
  <c r="G23" i="20" s="1"/>
  <c r="E22" i="20"/>
  <c r="G22" i="20" s="1"/>
  <c r="E21" i="20"/>
  <c r="G21" i="20" s="1"/>
  <c r="E19" i="20"/>
  <c r="G19" i="20" s="1"/>
  <c r="E18" i="20"/>
  <c r="G18" i="20" s="1"/>
  <c r="E17" i="20"/>
  <c r="G17" i="20" s="1"/>
  <c r="E16" i="20"/>
  <c r="G16" i="20" s="1"/>
  <c r="E14" i="20"/>
  <c r="G14" i="20" s="1"/>
  <c r="E12" i="20"/>
  <c r="G12" i="20" s="1"/>
  <c r="E11" i="20"/>
  <c r="G11" i="20" s="1"/>
  <c r="G9" i="20"/>
  <c r="E7" i="20"/>
  <c r="G7" i="20" s="1"/>
  <c r="F8" i="20" s="1"/>
  <c r="E6" i="20"/>
  <c r="G6" i="20" s="1"/>
  <c r="D8" i="20" s="1"/>
  <c r="G8" i="20" s="1"/>
  <c r="E49" i="21"/>
  <c r="G49" i="21" s="1"/>
  <c r="E46" i="21"/>
  <c r="G46" i="21" s="1"/>
  <c r="E43" i="21"/>
  <c r="G43" i="21" s="1"/>
  <c r="E40" i="21"/>
  <c r="G40" i="21" s="1"/>
  <c r="E38" i="21"/>
  <c r="G38" i="21" s="1"/>
  <c r="E37" i="21"/>
  <c r="G37" i="21" s="1"/>
  <c r="E35" i="21"/>
  <c r="G35" i="21" s="1"/>
  <c r="E34" i="21"/>
  <c r="G34" i="21" s="1"/>
  <c r="E32" i="21"/>
  <c r="G32" i="21" s="1"/>
  <c r="E31" i="21"/>
  <c r="G31" i="21" s="1"/>
  <c r="E29" i="21"/>
  <c r="G29" i="21" s="1"/>
  <c r="E28" i="21"/>
  <c r="G28" i="21" s="1"/>
  <c r="E27" i="21"/>
  <c r="G27" i="21" s="1"/>
  <c r="E26" i="21"/>
  <c r="G26" i="21" s="1"/>
  <c r="E24" i="21"/>
  <c r="G24" i="21" s="1"/>
  <c r="E23" i="21"/>
  <c r="G23" i="21" s="1"/>
  <c r="E22" i="21"/>
  <c r="G22" i="21" s="1"/>
  <c r="E21" i="21"/>
  <c r="G21" i="21" s="1"/>
  <c r="E19" i="21"/>
  <c r="G19" i="21" s="1"/>
  <c r="E18" i="21"/>
  <c r="G18" i="21" s="1"/>
  <c r="E17" i="21"/>
  <c r="G17" i="21" s="1"/>
  <c r="E16" i="21"/>
  <c r="G16" i="21" s="1"/>
  <c r="E14" i="21"/>
  <c r="G14" i="21" s="1"/>
  <c r="E12" i="21"/>
  <c r="G12" i="21" s="1"/>
  <c r="E11" i="21"/>
  <c r="G11" i="21" s="1"/>
  <c r="G9" i="21"/>
  <c r="E7" i="21"/>
  <c r="G7" i="21" s="1"/>
  <c r="F8" i="21" s="1"/>
  <c r="E6" i="21"/>
  <c r="G6" i="21" s="1"/>
  <c r="D8" i="21" s="1"/>
  <c r="E49" i="18"/>
  <c r="G49" i="18" s="1"/>
  <c r="E46" i="18"/>
  <c r="G46" i="18" s="1"/>
  <c r="G43" i="18"/>
  <c r="E43" i="18"/>
  <c r="E40" i="18"/>
  <c r="G40" i="18" s="1"/>
  <c r="E38" i="18"/>
  <c r="G38" i="18" s="1"/>
  <c r="E37" i="18"/>
  <c r="G37" i="18" s="1"/>
  <c r="E35" i="18"/>
  <c r="G35" i="18" s="1"/>
  <c r="E34" i="18"/>
  <c r="G34" i="18" s="1"/>
  <c r="E32" i="18"/>
  <c r="G32" i="18" s="1"/>
  <c r="E31" i="18"/>
  <c r="G31" i="18" s="1"/>
  <c r="G29" i="18"/>
  <c r="E29" i="18"/>
  <c r="E28" i="18"/>
  <c r="G28" i="18" s="1"/>
  <c r="G27" i="18"/>
  <c r="E27" i="18"/>
  <c r="E26" i="18"/>
  <c r="G26" i="18" s="1"/>
  <c r="E24" i="18"/>
  <c r="G24" i="18" s="1"/>
  <c r="E23" i="18"/>
  <c r="G23" i="18" s="1"/>
  <c r="E22" i="18"/>
  <c r="G22" i="18" s="1"/>
  <c r="E21" i="18"/>
  <c r="G21" i="18" s="1"/>
  <c r="E19" i="18"/>
  <c r="G19" i="18" s="1"/>
  <c r="E18" i="18"/>
  <c r="G18" i="18" s="1"/>
  <c r="E17" i="18"/>
  <c r="G17" i="18" s="1"/>
  <c r="E16" i="18"/>
  <c r="G16" i="18" s="1"/>
  <c r="E14" i="18"/>
  <c r="G14" i="18" s="1"/>
  <c r="E12" i="18"/>
  <c r="G12" i="18" s="1"/>
  <c r="E11" i="18"/>
  <c r="G11" i="18" s="1"/>
  <c r="G9" i="18"/>
  <c r="E7" i="18"/>
  <c r="G7" i="18" s="1"/>
  <c r="F8" i="18" s="1"/>
  <c r="E6" i="18"/>
  <c r="G6" i="18" s="1"/>
  <c r="D8" i="18" s="1"/>
  <c r="E24" i="17"/>
  <c r="G24" i="17" s="1"/>
  <c r="E23" i="17"/>
  <c r="G23" i="17" s="1"/>
  <c r="E22" i="17"/>
  <c r="G22" i="17" s="1"/>
  <c r="E21" i="17"/>
  <c r="G21" i="17" s="1"/>
  <c r="E49" i="17"/>
  <c r="G49" i="17" s="1"/>
  <c r="E46" i="17"/>
  <c r="G46" i="17" s="1"/>
  <c r="E43" i="17"/>
  <c r="G43" i="17" s="1"/>
  <c r="E40" i="17"/>
  <c r="G40" i="17" s="1"/>
  <c r="E38" i="17"/>
  <c r="G38" i="17" s="1"/>
  <c r="E37" i="17"/>
  <c r="G37" i="17" s="1"/>
  <c r="E35" i="17"/>
  <c r="G35" i="17" s="1"/>
  <c r="E34" i="17"/>
  <c r="G34" i="17" s="1"/>
  <c r="E32" i="17"/>
  <c r="G32" i="17" s="1"/>
  <c r="E31" i="17"/>
  <c r="G31" i="17" s="1"/>
  <c r="G29" i="17"/>
  <c r="E29" i="17"/>
  <c r="E28" i="17"/>
  <c r="G28" i="17" s="1"/>
  <c r="G27" i="17"/>
  <c r="E27" i="17"/>
  <c r="E26" i="17"/>
  <c r="G26" i="17" s="1"/>
  <c r="E19" i="17"/>
  <c r="G19" i="17" s="1"/>
  <c r="E18" i="17"/>
  <c r="G18" i="17" s="1"/>
  <c r="E17" i="17"/>
  <c r="G17" i="17" s="1"/>
  <c r="E16" i="17"/>
  <c r="G16" i="17" s="1"/>
  <c r="E14" i="17"/>
  <c r="G14" i="17" s="1"/>
  <c r="E12" i="17"/>
  <c r="G12" i="17" s="1"/>
  <c r="E11" i="17"/>
  <c r="G11" i="17" s="1"/>
  <c r="G9" i="17"/>
  <c r="E7" i="17"/>
  <c r="G7" i="17" s="1"/>
  <c r="F8" i="17" s="1"/>
  <c r="E6" i="17"/>
  <c r="G6" i="17" s="1"/>
  <c r="D8" i="17" s="1"/>
  <c r="E44" i="14"/>
  <c r="G44" i="14" s="1"/>
  <c r="E41" i="14"/>
  <c r="G41" i="14" s="1"/>
  <c r="E38" i="14"/>
  <c r="G38" i="14" s="1"/>
  <c r="E35" i="14"/>
  <c r="G35" i="14" s="1"/>
  <c r="E33" i="14"/>
  <c r="G33" i="14" s="1"/>
  <c r="E32" i="14"/>
  <c r="G32" i="14" s="1"/>
  <c r="E30" i="14"/>
  <c r="G30" i="14" s="1"/>
  <c r="E29" i="14"/>
  <c r="G29" i="14" s="1"/>
  <c r="E27" i="14"/>
  <c r="G27" i="14" s="1"/>
  <c r="E26" i="14"/>
  <c r="G26" i="14" s="1"/>
  <c r="E24" i="14"/>
  <c r="G24" i="14" s="1"/>
  <c r="G23" i="14"/>
  <c r="E23" i="14"/>
  <c r="E22" i="14"/>
  <c r="G22" i="14" s="1"/>
  <c r="G21" i="14"/>
  <c r="E21" i="14"/>
  <c r="E19" i="14"/>
  <c r="G19" i="14" s="1"/>
  <c r="E18" i="14"/>
  <c r="G18" i="14" s="1"/>
  <c r="E17" i="14"/>
  <c r="G17" i="14" s="1"/>
  <c r="E16" i="14"/>
  <c r="G16" i="14" s="1"/>
  <c r="E14" i="14"/>
  <c r="G14" i="14" s="1"/>
  <c r="E12" i="14"/>
  <c r="G12" i="14" s="1"/>
  <c r="E11" i="14"/>
  <c r="G11" i="14" s="1"/>
  <c r="G9" i="14"/>
  <c r="E7" i="14"/>
  <c r="G7" i="14" s="1"/>
  <c r="F8" i="14" s="1"/>
  <c r="E6" i="14"/>
  <c r="G6" i="14" s="1"/>
  <c r="D8" i="14" s="1"/>
  <c r="E44" i="13"/>
  <c r="G44" i="13" s="1"/>
  <c r="E41" i="13"/>
  <c r="G41" i="13" s="1"/>
  <c r="E38" i="13"/>
  <c r="G38" i="13" s="1"/>
  <c r="E35" i="13"/>
  <c r="G35" i="13" s="1"/>
  <c r="E33" i="13"/>
  <c r="G33" i="13" s="1"/>
  <c r="E32" i="13"/>
  <c r="G32" i="13" s="1"/>
  <c r="E30" i="13"/>
  <c r="G30" i="13" s="1"/>
  <c r="E29" i="13"/>
  <c r="G29" i="13" s="1"/>
  <c r="E27" i="13"/>
  <c r="G27" i="13" s="1"/>
  <c r="E26" i="13"/>
  <c r="G26" i="13" s="1"/>
  <c r="E24" i="13"/>
  <c r="G24" i="13" s="1"/>
  <c r="G23" i="13"/>
  <c r="E23" i="13"/>
  <c r="E22" i="13"/>
  <c r="G22" i="13" s="1"/>
  <c r="G21" i="13"/>
  <c r="E21" i="13"/>
  <c r="E19" i="13"/>
  <c r="G19" i="13" s="1"/>
  <c r="E18" i="13"/>
  <c r="G18" i="13" s="1"/>
  <c r="E17" i="13"/>
  <c r="G17" i="13" s="1"/>
  <c r="E16" i="13"/>
  <c r="G16" i="13" s="1"/>
  <c r="E14" i="13"/>
  <c r="G14" i="13" s="1"/>
  <c r="E12" i="13"/>
  <c r="G12" i="13" s="1"/>
  <c r="E11" i="13"/>
  <c r="G11" i="13" s="1"/>
  <c r="G9" i="13"/>
  <c r="E7" i="13"/>
  <c r="G7" i="13" s="1"/>
  <c r="F8" i="13" s="1"/>
  <c r="E6" i="13"/>
  <c r="G6" i="13" s="1"/>
  <c r="D8" i="13" s="1"/>
  <c r="G8" i="25" l="1"/>
  <c r="G8" i="23"/>
  <c r="G8" i="22"/>
  <c r="G8" i="19"/>
  <c r="G8" i="21"/>
  <c r="G8" i="18"/>
  <c r="G8" i="17"/>
  <c r="G8" i="14"/>
  <c r="G8" i="13"/>
</calcChain>
</file>

<file path=xl/sharedStrings.xml><?xml version="1.0" encoding="utf-8"?>
<sst xmlns="http://schemas.openxmlformats.org/spreadsheetml/2006/main" count="885" uniqueCount="95">
  <si>
    <t xml:space="preserve">7 COLOUR PRINTING MACHINE </t>
  </si>
  <si>
    <t xml:space="preserve">Sr. No. </t>
  </si>
  <si>
    <t>Roller</t>
  </si>
  <si>
    <t>In stock</t>
  </si>
  <si>
    <t>Roller installed per unit</t>
  </si>
  <si>
    <t>Required</t>
  </si>
  <si>
    <t>Size in mm</t>
  </si>
  <si>
    <t xml:space="preserve">6 COLOUR PRINTING MACHINE </t>
  </si>
  <si>
    <t>Pen roller</t>
  </si>
  <si>
    <t>Foam roller</t>
  </si>
  <si>
    <t>Alcohol roller</t>
  </si>
  <si>
    <t>Foam roller ( Duct roller)</t>
  </si>
  <si>
    <t>KVA</t>
  </si>
  <si>
    <t>KWH</t>
  </si>
  <si>
    <t>KVAH</t>
  </si>
  <si>
    <t>HYDAL </t>
  </si>
  <si>
    <t>DIESEL GENERATOR 750 KVA</t>
  </si>
  <si>
    <t>DEASAL GENERATOR 400 KVA</t>
  </si>
  <si>
    <t>COMPRESSER -1 ( PH )</t>
  </si>
  <si>
    <t>COMPRESSER -2 ( NEW )</t>
  </si>
  <si>
    <t>COMPRESSER -3 ( OLD )</t>
  </si>
  <si>
    <t>M. F.</t>
  </si>
  <si>
    <t>PREVIOUS READING</t>
  </si>
  <si>
    <t>CURRENT READING</t>
  </si>
  <si>
    <t>SOLAR GENERATION</t>
  </si>
  <si>
    <t xml:space="preserve">KWH </t>
  </si>
  <si>
    <t>ENERGY TYPE</t>
  </si>
  <si>
    <t>RUNNING HOUR</t>
  </si>
  <si>
    <t>DIESEL CONSUMPTION</t>
  </si>
  <si>
    <t>DIFFERENCE</t>
  </si>
  <si>
    <t>DAILY UTILITY REPORT</t>
  </si>
  <si>
    <t>PF</t>
  </si>
  <si>
    <t>KWH : -</t>
  </si>
  <si>
    <t>KVAH : -</t>
  </si>
  <si>
    <t>THERMIC FLUID BOILER</t>
  </si>
  <si>
    <t>NEXT SERVICE HOURS</t>
  </si>
  <si>
    <t>TOYOTA FORKLIFT ( Packaging )</t>
  </si>
  <si>
    <t>VOLTAS FORKLIFT ( Packaging )</t>
  </si>
  <si>
    <t>VOLTAS FORKLIFT ( PH )</t>
  </si>
  <si>
    <t>N/A</t>
  </si>
  <si>
    <t xml:space="preserve">UNITS </t>
  </si>
  <si>
    <t>TOYOTA  RT ( Packaging )</t>
  </si>
  <si>
    <t xml:space="preserve">DIESEL INSERTED IN TANK : -     </t>
  </si>
  <si>
    <t>500 hours or 6 months</t>
  </si>
  <si>
    <t>Note : - 1. The alternator of the diesel generator was damaged on 28.05.2026, hence it is not running from 28.05.2026.</t>
  </si>
  <si>
    <t>Hours : - 4330</t>
  </si>
  <si>
    <t>500 Hours or 6 months</t>
  </si>
  <si>
    <t>Hours : - 4830</t>
  </si>
  <si>
    <t>Hours : - 43525</t>
  </si>
  <si>
    <t>Hours : - 46525</t>
  </si>
  <si>
    <t>Hours : - 3200</t>
  </si>
  <si>
    <t>Hours : - 6200</t>
  </si>
  <si>
    <t>Hours : - 17128</t>
  </si>
  <si>
    <t>Hours : - 20128</t>
  </si>
  <si>
    <t>Hours : - 3202</t>
  </si>
  <si>
    <t>Hours : - 3700</t>
  </si>
  <si>
    <t>LOAD RUNNING HOUR</t>
  </si>
  <si>
    <t>The service was performed on 13.06.2026 at 6,675.4 hours.</t>
  </si>
  <si>
    <t>Hours : - 6975.4</t>
  </si>
  <si>
    <t>The service was performed on 13.06.2026 at 15556 hours.</t>
  </si>
  <si>
    <t>Hours : - 15856</t>
  </si>
  <si>
    <t xml:space="preserve">             2.This meter is not working because the wiring of the old Voltas forklift has burnt out. It is currently running on temporary wiring; the new wiring has been ordered and will be installed as soon as it arrives.</t>
  </si>
  <si>
    <t>Hours : - 1245</t>
  </si>
  <si>
    <t>The service was performed on 18.06.2026 at 749 hours.</t>
  </si>
  <si>
    <t>SERVICE HOURS COMPLETED PREVIOUSLY</t>
  </si>
  <si>
    <t>Hours : - 2600</t>
  </si>
  <si>
    <t>B-check' servicing was carried out on June 21, 2026, which included cleaning the radiator and diesel tank. Hours: - 2093.</t>
  </si>
  <si>
    <t>Cleaning of solar panels was done on 25.06.2026.</t>
  </si>
  <si>
    <t>04.07.2026 To 06.07.2026</t>
  </si>
  <si>
    <t>Date. - 01.07.2026</t>
  </si>
  <si>
    <t>Cleaning of solar panels was done on 03.07.2026.</t>
  </si>
  <si>
    <t>13.07.2026 To 15.07.2026</t>
  </si>
  <si>
    <t>Date. - 04.07.2026</t>
  </si>
  <si>
    <t>Date. - 05.07.2026</t>
  </si>
  <si>
    <t xml:space="preserve">Hours : - </t>
  </si>
  <si>
    <t>DEASAL GENERATOR TAKEN ON RENT 750 KVA</t>
  </si>
  <si>
    <t>Date. - 06.07.2026</t>
  </si>
  <si>
    <t>Date. - 07.07.2026</t>
  </si>
  <si>
    <t>Date. - 08.07.2026</t>
  </si>
  <si>
    <t>The service was performed on 11.07.2026 at 6450 hours.</t>
  </si>
  <si>
    <t>Hours : - 9450</t>
  </si>
  <si>
    <t>BSD - 75 / SR. No. - 1343 COMPRESSER -3 ( OLD )</t>
  </si>
  <si>
    <t>BSD - 75 / SR. No. - 1543 COMPRESSER -2 ( NEW )</t>
  </si>
  <si>
    <t>CSD - 85 / SR. No. - 1067 COMPRESSER -1 ( PH )</t>
  </si>
  <si>
    <t>Note : - 1.This meter is not working because the wiring of the old Voltas forklift has burnt out. It is currently running on temporary wiring; the new wiring has been ordered and will be installed as soon as it arrives.</t>
  </si>
  <si>
    <t>Date. - 13.07.2026</t>
  </si>
  <si>
    <t>Date. - 14.07.2026</t>
  </si>
  <si>
    <t>Cleaning of solar panels was done on 13.07.2026.</t>
  </si>
  <si>
    <t>23.07.2026 To 25.07.2026</t>
  </si>
  <si>
    <t>Date. - 15.07.2026</t>
  </si>
  <si>
    <t>DEASAL GENERATOR TAKEN ON RENT 750 KVA (Installation date : - 02.07.2026 )</t>
  </si>
  <si>
    <t>DEASAL GENERATOR TAKEN ON RENT 500 KVA (Installation date : - 08.07.2026 )</t>
  </si>
  <si>
    <t>Hours : -</t>
  </si>
  <si>
    <t>Date. - 16.07.2026</t>
  </si>
  <si>
    <t xml:space="preserve">             2. The Toyota forklift is not running due to a fuel pump malfunction. I obtained a repair quotation from the Toyota service center, forwarded it to Mr. Rohit, and discussed the matter; it will be repaired as soon as possible.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</si>
</sst>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u val="double"/>
      <sz val="16"/>
      <color rgb="FF000000"/>
      <name val="Times New Roman"/>
      <family val="1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9" xfId="0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28" xfId="0" applyFont="1" applyFill="1" applyBorder="1" applyAlignment="1">
      <alignment horizontal="left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7" xfId="0" quotePrefix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64F4-ED83-41D0-8647-EEF25017F8A1}">
  <dimension ref="A2:F20"/>
  <sheetViews>
    <sheetView workbookViewId="0">
      <selection activeCell="C24" sqref="C24"/>
    </sheetView>
  </sheetViews>
  <sheetFormatPr defaultRowHeight="13.2" x14ac:dyDescent="0.25"/>
  <cols>
    <col min="2" max="2" width="30.77734375" customWidth="1"/>
    <col min="3" max="6" width="15.77734375" customWidth="1"/>
  </cols>
  <sheetData>
    <row r="2" spans="1:6" ht="13.8" x14ac:dyDescent="0.25">
      <c r="A2" s="76" t="s">
        <v>0</v>
      </c>
      <c r="B2" s="76"/>
      <c r="C2" s="76"/>
      <c r="D2" s="76"/>
      <c r="E2" s="76"/>
      <c r="F2" s="76"/>
    </row>
    <row r="3" spans="1:6" ht="42" customHeight="1" x14ac:dyDescent="0.25">
      <c r="A3" s="3" t="s">
        <v>1</v>
      </c>
      <c r="B3" s="4" t="s">
        <v>2</v>
      </c>
      <c r="C3" s="4" t="s">
        <v>6</v>
      </c>
      <c r="D3" s="4" t="s">
        <v>4</v>
      </c>
      <c r="E3" s="4" t="s">
        <v>3</v>
      </c>
      <c r="F3" s="4" t="s">
        <v>5</v>
      </c>
    </row>
    <row r="4" spans="1:6" x14ac:dyDescent="0.25">
      <c r="A4" s="1">
        <v>1</v>
      </c>
      <c r="B4" s="5" t="s">
        <v>9</v>
      </c>
      <c r="C4" s="1">
        <v>60</v>
      </c>
      <c r="D4" s="1">
        <v>2</v>
      </c>
      <c r="E4" s="1">
        <v>1</v>
      </c>
      <c r="F4" s="1">
        <v>1</v>
      </c>
    </row>
    <row r="5" spans="1:6" x14ac:dyDescent="0.25">
      <c r="A5" s="1">
        <v>2</v>
      </c>
      <c r="B5" s="5" t="s">
        <v>11</v>
      </c>
      <c r="C5" s="1">
        <v>60</v>
      </c>
      <c r="D5" s="1">
        <v>1</v>
      </c>
      <c r="E5" s="1">
        <v>0</v>
      </c>
      <c r="F5" s="1">
        <v>1</v>
      </c>
    </row>
    <row r="6" spans="1:6" x14ac:dyDescent="0.25">
      <c r="A6" s="1">
        <v>3</v>
      </c>
      <c r="B6" s="5" t="s">
        <v>9</v>
      </c>
      <c r="C6" s="1">
        <v>66</v>
      </c>
      <c r="D6" s="1">
        <v>2</v>
      </c>
      <c r="E6" s="1">
        <v>1</v>
      </c>
      <c r="F6" s="1">
        <v>1</v>
      </c>
    </row>
    <row r="7" spans="1:6" x14ac:dyDescent="0.25">
      <c r="A7" s="1">
        <v>4</v>
      </c>
      <c r="B7" s="5" t="s">
        <v>9</v>
      </c>
      <c r="C7" s="1">
        <v>72</v>
      </c>
      <c r="D7" s="1">
        <v>2</v>
      </c>
      <c r="E7" s="1">
        <v>1</v>
      </c>
      <c r="F7" s="1">
        <v>1</v>
      </c>
    </row>
    <row r="8" spans="1:6" x14ac:dyDescent="0.25">
      <c r="A8" s="1">
        <v>5</v>
      </c>
      <c r="B8" s="6" t="s">
        <v>10</v>
      </c>
      <c r="C8" s="1">
        <v>78</v>
      </c>
      <c r="D8" s="1">
        <v>1</v>
      </c>
      <c r="E8" s="1">
        <v>0</v>
      </c>
      <c r="F8" s="1">
        <v>1</v>
      </c>
    </row>
    <row r="9" spans="1:6" x14ac:dyDescent="0.25">
      <c r="A9" s="1">
        <v>6</v>
      </c>
      <c r="B9" s="5" t="s">
        <v>9</v>
      </c>
      <c r="C9" s="1">
        <v>80</v>
      </c>
      <c r="D9" s="1">
        <v>3</v>
      </c>
      <c r="E9" s="1">
        <v>1</v>
      </c>
      <c r="F9" s="1">
        <v>2</v>
      </c>
    </row>
    <row r="10" spans="1:6" x14ac:dyDescent="0.25">
      <c r="A10" s="1">
        <v>7</v>
      </c>
      <c r="B10" s="5" t="s">
        <v>8</v>
      </c>
      <c r="C10" s="1">
        <v>108</v>
      </c>
      <c r="D10" s="1">
        <v>1</v>
      </c>
      <c r="E10" s="1">
        <v>1</v>
      </c>
      <c r="F10" s="1">
        <v>0</v>
      </c>
    </row>
    <row r="11" spans="1:6" x14ac:dyDescent="0.25">
      <c r="A11" s="2"/>
      <c r="B11" s="2"/>
      <c r="C11" s="2"/>
      <c r="D11" s="2"/>
      <c r="E11" s="2"/>
      <c r="F11" s="2"/>
    </row>
    <row r="12" spans="1:6" ht="13.8" x14ac:dyDescent="0.25">
      <c r="A12" s="76" t="s">
        <v>7</v>
      </c>
      <c r="B12" s="76"/>
      <c r="C12" s="76"/>
      <c r="D12" s="76"/>
      <c r="E12" s="76"/>
      <c r="F12" s="76"/>
    </row>
    <row r="13" spans="1:6" ht="26.4" x14ac:dyDescent="0.25">
      <c r="A13" s="3" t="s">
        <v>1</v>
      </c>
      <c r="B13" s="4" t="s">
        <v>2</v>
      </c>
      <c r="C13" s="4" t="s">
        <v>6</v>
      </c>
      <c r="D13" s="4" t="s">
        <v>4</v>
      </c>
      <c r="E13" s="4" t="s">
        <v>3</v>
      </c>
      <c r="F13" s="4" t="s">
        <v>5</v>
      </c>
    </row>
    <row r="14" spans="1:6" x14ac:dyDescent="0.25">
      <c r="A14" s="1">
        <v>1</v>
      </c>
      <c r="B14" s="5" t="s">
        <v>9</v>
      </c>
      <c r="C14" s="1">
        <v>60</v>
      </c>
      <c r="D14" s="1">
        <v>2</v>
      </c>
      <c r="E14" s="1">
        <v>2</v>
      </c>
      <c r="F14" s="1">
        <v>0</v>
      </c>
    </row>
    <row r="15" spans="1:6" x14ac:dyDescent="0.25">
      <c r="A15" s="1">
        <v>2</v>
      </c>
      <c r="B15" s="5" t="s">
        <v>11</v>
      </c>
      <c r="C15" s="1">
        <v>60</v>
      </c>
      <c r="D15" s="1">
        <v>1</v>
      </c>
      <c r="E15" s="1">
        <v>0</v>
      </c>
      <c r="F15" s="1">
        <v>1</v>
      </c>
    </row>
    <row r="16" spans="1:6" x14ac:dyDescent="0.25">
      <c r="A16" s="1">
        <v>3</v>
      </c>
      <c r="B16" s="5" t="s">
        <v>9</v>
      </c>
      <c r="C16" s="1">
        <v>66</v>
      </c>
      <c r="D16" s="1">
        <v>2</v>
      </c>
      <c r="E16" s="1">
        <v>1</v>
      </c>
      <c r="F16" s="1">
        <v>1</v>
      </c>
    </row>
    <row r="17" spans="1:6" x14ac:dyDescent="0.25">
      <c r="A17" s="1">
        <v>4</v>
      </c>
      <c r="B17" s="5" t="s">
        <v>9</v>
      </c>
      <c r="C17" s="1">
        <v>72</v>
      </c>
      <c r="D17" s="1">
        <v>2</v>
      </c>
      <c r="E17" s="1">
        <v>1</v>
      </c>
      <c r="F17" s="1">
        <v>1</v>
      </c>
    </row>
    <row r="18" spans="1:6" x14ac:dyDescent="0.25">
      <c r="A18" s="1">
        <v>5</v>
      </c>
      <c r="B18" s="6" t="s">
        <v>10</v>
      </c>
      <c r="C18" s="1">
        <v>78</v>
      </c>
      <c r="D18" s="1">
        <v>1</v>
      </c>
      <c r="E18" s="1">
        <v>0</v>
      </c>
      <c r="F18" s="1">
        <v>1</v>
      </c>
    </row>
    <row r="19" spans="1:6" x14ac:dyDescent="0.25">
      <c r="A19" s="1">
        <v>6</v>
      </c>
      <c r="B19" s="5" t="s">
        <v>9</v>
      </c>
      <c r="C19" s="1">
        <v>80</v>
      </c>
      <c r="D19" s="1">
        <v>3</v>
      </c>
      <c r="E19" s="1">
        <v>1</v>
      </c>
      <c r="F19" s="1">
        <v>2</v>
      </c>
    </row>
    <row r="20" spans="1:6" x14ac:dyDescent="0.25">
      <c r="A20" s="1">
        <v>7</v>
      </c>
      <c r="B20" s="5" t="s">
        <v>8</v>
      </c>
      <c r="C20" s="1">
        <v>108</v>
      </c>
      <c r="D20" s="1">
        <v>1</v>
      </c>
      <c r="E20" s="1">
        <v>0</v>
      </c>
      <c r="F20" s="1">
        <v>1</v>
      </c>
    </row>
  </sheetData>
  <mergeCells count="2">
    <mergeCell ref="A2:F2"/>
    <mergeCell ref="A12:F12"/>
  </mergeCells>
  <pageMargins left="0.75" right="0" top="0.75" bottom="0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5B2C-E3C7-463D-9793-91F76D313DEF}">
  <sheetPr>
    <pageSetUpPr fitToPage="1"/>
  </sheetPr>
  <dimension ref="A1:M46"/>
  <sheetViews>
    <sheetView topLeftCell="A11" workbookViewId="0">
      <selection activeCell="B25" sqref="B25:I25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 t="s">
        <v>30</v>
      </c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 t="s">
        <v>69</v>
      </c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 t="s">
        <v>26</v>
      </c>
      <c r="C4" s="12" t="s">
        <v>22</v>
      </c>
      <c r="D4" s="23" t="s">
        <v>23</v>
      </c>
      <c r="E4" s="23" t="s">
        <v>29</v>
      </c>
      <c r="F4" s="23" t="s">
        <v>21</v>
      </c>
      <c r="G4" s="23" t="s">
        <v>40</v>
      </c>
      <c r="H4" s="23" t="s">
        <v>64</v>
      </c>
      <c r="I4" s="24" t="s">
        <v>35</v>
      </c>
    </row>
    <row r="5" spans="1:13" ht="15" customHeight="1" x14ac:dyDescent="0.25">
      <c r="A5" s="55"/>
      <c r="B5" s="58" t="s">
        <v>15</v>
      </c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 t="s">
        <v>13</v>
      </c>
      <c r="C6" s="3">
        <v>7548.56</v>
      </c>
      <c r="D6" s="3">
        <v>7564.3</v>
      </c>
      <c r="E6" s="3">
        <f>D6-C6</f>
        <v>15.739999999999782</v>
      </c>
      <c r="F6" s="3">
        <v>1200</v>
      </c>
      <c r="G6" s="19">
        <f>E6*F6</f>
        <v>18887.999999999738</v>
      </c>
      <c r="H6" s="61" t="s">
        <v>39</v>
      </c>
      <c r="I6" s="62"/>
    </row>
    <row r="7" spans="1:13" ht="15" customHeight="1" x14ac:dyDescent="0.25">
      <c r="A7" s="55"/>
      <c r="B7" s="7" t="s">
        <v>14</v>
      </c>
      <c r="C7" s="32">
        <v>7579.6</v>
      </c>
      <c r="D7" s="32">
        <v>7595.4</v>
      </c>
      <c r="E7" s="3">
        <f>D7-C7</f>
        <v>15.799999999999272</v>
      </c>
      <c r="F7" s="3">
        <v>1200</v>
      </c>
      <c r="G7" s="19">
        <f>E7*F7</f>
        <v>18959.999999999127</v>
      </c>
      <c r="H7" s="63"/>
      <c r="I7" s="64"/>
    </row>
    <row r="8" spans="1:13" ht="15" customHeight="1" x14ac:dyDescent="0.25">
      <c r="A8" s="55"/>
      <c r="B8" s="15" t="s">
        <v>31</v>
      </c>
      <c r="C8" s="17" t="s">
        <v>32</v>
      </c>
      <c r="D8" s="8">
        <f>G6</f>
        <v>18887.999999999738</v>
      </c>
      <c r="E8" s="18" t="s">
        <v>33</v>
      </c>
      <c r="F8" s="3">
        <f>G7</f>
        <v>18959.999999999127</v>
      </c>
      <c r="G8" s="20">
        <f>D8/F8</f>
        <v>0.99620253164560169</v>
      </c>
      <c r="H8" s="63"/>
      <c r="I8" s="64"/>
      <c r="M8" s="29"/>
    </row>
    <row r="9" spans="1:13" ht="15" customHeight="1" thickBot="1" x14ac:dyDescent="0.3">
      <c r="A9" s="55"/>
      <c r="B9" s="9" t="s">
        <v>12</v>
      </c>
      <c r="C9" s="10">
        <v>12.35</v>
      </c>
      <c r="D9" s="14">
        <v>12.35</v>
      </c>
      <c r="E9" s="14">
        <v>0.89100000000000001</v>
      </c>
      <c r="F9" s="14">
        <v>1200</v>
      </c>
      <c r="G9" s="21">
        <f>E9*F9</f>
        <v>1069.2</v>
      </c>
      <c r="H9" s="65"/>
      <c r="I9" s="66"/>
    </row>
    <row r="10" spans="1:13" ht="15" customHeight="1" x14ac:dyDescent="0.25">
      <c r="A10" s="55"/>
      <c r="B10" s="58" t="s">
        <v>24</v>
      </c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 t="s">
        <v>13</v>
      </c>
      <c r="C11" s="3">
        <v>1049.01</v>
      </c>
      <c r="D11" s="3">
        <v>1049.76</v>
      </c>
      <c r="E11" s="3">
        <f>D11-C11</f>
        <v>0.75</v>
      </c>
      <c r="F11" s="3">
        <v>1000</v>
      </c>
      <c r="G11" s="19">
        <f>E11*F11</f>
        <v>750</v>
      </c>
      <c r="H11" s="39" t="s">
        <v>67</v>
      </c>
      <c r="I11" s="67" t="s">
        <v>68</v>
      </c>
    </row>
    <row r="12" spans="1:13" ht="15" customHeight="1" thickBot="1" x14ac:dyDescent="0.3">
      <c r="A12" s="55"/>
      <c r="B12" s="9" t="s">
        <v>14</v>
      </c>
      <c r="C12" s="14">
        <v>1061.5899999999999</v>
      </c>
      <c r="D12" s="14">
        <v>1062.3599999999999</v>
      </c>
      <c r="E12" s="14">
        <f>D12-C12</f>
        <v>0.76999999999998181</v>
      </c>
      <c r="F12" s="14">
        <v>1000</v>
      </c>
      <c r="G12" s="21">
        <f>E12*F12</f>
        <v>769.99999999998181</v>
      </c>
      <c r="H12" s="40"/>
      <c r="I12" s="68"/>
    </row>
    <row r="13" spans="1:13" ht="15" customHeight="1" x14ac:dyDescent="0.25">
      <c r="A13" s="55"/>
      <c r="B13" s="69" t="s">
        <v>34</v>
      </c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 t="s">
        <v>25</v>
      </c>
      <c r="C14" s="14">
        <v>406611.29300000001</v>
      </c>
      <c r="D14" s="14">
        <v>409120.16</v>
      </c>
      <c r="E14" s="14">
        <f>D14-C14</f>
        <v>2508.8669999999693</v>
      </c>
      <c r="F14" s="14">
        <v>1</v>
      </c>
      <c r="G14" s="21">
        <f>E14*F14</f>
        <v>2508.8669999999693</v>
      </c>
      <c r="H14" s="72" t="s">
        <v>39</v>
      </c>
      <c r="I14" s="73"/>
    </row>
    <row r="15" spans="1:13" ht="15" customHeight="1" x14ac:dyDescent="0.25">
      <c r="A15" s="55"/>
      <c r="B15" s="58" t="s">
        <v>16</v>
      </c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 t="s">
        <v>13</v>
      </c>
      <c r="C16" s="3">
        <v>661235.19999999995</v>
      </c>
      <c r="D16" s="3">
        <v>662643.19999999995</v>
      </c>
      <c r="E16" s="3">
        <f>D16-C16</f>
        <v>1408</v>
      </c>
      <c r="F16" s="3">
        <v>1</v>
      </c>
      <c r="G16" s="19">
        <f>E16*F16</f>
        <v>1408</v>
      </c>
      <c r="H16" s="51" t="s">
        <v>43</v>
      </c>
      <c r="I16" s="52"/>
    </row>
    <row r="17" spans="1:9" ht="20.100000000000001" customHeight="1" x14ac:dyDescent="0.25">
      <c r="A17" s="55"/>
      <c r="B17" s="7" t="s">
        <v>14</v>
      </c>
      <c r="C17" s="3">
        <v>690345.2</v>
      </c>
      <c r="D17" s="3">
        <v>691811</v>
      </c>
      <c r="E17" s="3">
        <f>D17-C17</f>
        <v>1465.8000000000466</v>
      </c>
      <c r="F17" s="3">
        <v>1</v>
      </c>
      <c r="G17" s="19">
        <f>E17*F17</f>
        <v>1465.8000000000466</v>
      </c>
      <c r="H17" s="74" t="s">
        <v>66</v>
      </c>
      <c r="I17" s="52" t="s">
        <v>65</v>
      </c>
    </row>
    <row r="18" spans="1:9" ht="20.100000000000001" customHeight="1" x14ac:dyDescent="0.25">
      <c r="A18" s="55"/>
      <c r="B18" s="7" t="s">
        <v>27</v>
      </c>
      <c r="C18" s="3">
        <v>2131.52</v>
      </c>
      <c r="D18" s="3">
        <v>2136.13</v>
      </c>
      <c r="E18" s="3">
        <f>D18-C18</f>
        <v>4.6100000000001273</v>
      </c>
      <c r="F18" s="3">
        <v>1</v>
      </c>
      <c r="G18" s="19">
        <f>E18*F18</f>
        <v>4.6100000000001273</v>
      </c>
      <c r="H18" s="75"/>
      <c r="I18" s="52"/>
    </row>
    <row r="19" spans="1:9" ht="20.100000000000001" customHeight="1" thickBot="1" x14ac:dyDescent="0.3">
      <c r="A19" s="55"/>
      <c r="B19" s="9" t="s">
        <v>28</v>
      </c>
      <c r="C19" s="10">
        <v>800</v>
      </c>
      <c r="D19" s="14">
        <v>400</v>
      </c>
      <c r="E19" s="14">
        <f>C19+D19</f>
        <v>1200</v>
      </c>
      <c r="F19" s="14">
        <v>750</v>
      </c>
      <c r="G19" s="21">
        <f>E19-F19</f>
        <v>450</v>
      </c>
      <c r="H19" s="40"/>
      <c r="I19" s="54"/>
    </row>
    <row r="20" spans="1:9" ht="15" customHeight="1" x14ac:dyDescent="0.25">
      <c r="A20" s="55"/>
      <c r="B20" s="69" t="s">
        <v>17</v>
      </c>
      <c r="C20" s="70"/>
      <c r="D20" s="70"/>
      <c r="E20" s="70"/>
      <c r="F20" s="70"/>
      <c r="G20" s="70"/>
      <c r="H20" s="70"/>
      <c r="I20" s="71"/>
    </row>
    <row r="21" spans="1:9" ht="15" customHeight="1" x14ac:dyDescent="0.25">
      <c r="A21" s="55"/>
      <c r="B21" s="7" t="s">
        <v>13</v>
      </c>
      <c r="C21" s="8">
        <v>54530.194000000003</v>
      </c>
      <c r="D21" s="8">
        <v>54530.194000000003</v>
      </c>
      <c r="E21" s="8">
        <f>D21-C21</f>
        <v>0</v>
      </c>
      <c r="F21" s="8">
        <v>1</v>
      </c>
      <c r="G21" s="22">
        <f>E21*F21</f>
        <v>0</v>
      </c>
      <c r="H21" s="51" t="s">
        <v>46</v>
      </c>
      <c r="I21" s="52"/>
    </row>
    <row r="22" spans="1:9" ht="15" customHeight="1" x14ac:dyDescent="0.25">
      <c r="A22" s="55"/>
      <c r="B22" s="7" t="s">
        <v>14</v>
      </c>
      <c r="C22" s="8">
        <v>60820.597999999998</v>
      </c>
      <c r="D22" s="8">
        <v>60820.597999999998</v>
      </c>
      <c r="E22" s="8">
        <f>D22-C22</f>
        <v>0</v>
      </c>
      <c r="F22" s="8">
        <v>1</v>
      </c>
      <c r="G22" s="22">
        <f>E22*F22</f>
        <v>0</v>
      </c>
      <c r="H22" s="51" t="s">
        <v>45</v>
      </c>
      <c r="I22" s="52" t="s">
        <v>47</v>
      </c>
    </row>
    <row r="23" spans="1:9" ht="15" customHeight="1" x14ac:dyDescent="0.25">
      <c r="A23" s="55"/>
      <c r="B23" s="7" t="s">
        <v>27</v>
      </c>
      <c r="C23" s="8">
        <v>4582.3999999999996</v>
      </c>
      <c r="D23" s="8">
        <v>4582.3999999999996</v>
      </c>
      <c r="E23" s="8">
        <f>D23-C23</f>
        <v>0</v>
      </c>
      <c r="F23" s="8">
        <v>1</v>
      </c>
      <c r="G23" s="22">
        <f>E23*F23</f>
        <v>0</v>
      </c>
      <c r="H23" s="51"/>
      <c r="I23" s="52"/>
    </row>
    <row r="24" spans="1:9" ht="15" customHeight="1" thickBot="1" x14ac:dyDescent="0.3">
      <c r="A24" s="55"/>
      <c r="B24" s="9" t="s">
        <v>28</v>
      </c>
      <c r="C24" s="10">
        <v>400</v>
      </c>
      <c r="D24" s="10">
        <v>0</v>
      </c>
      <c r="E24" s="10">
        <f>C24+D24</f>
        <v>400</v>
      </c>
      <c r="F24" s="10">
        <v>400</v>
      </c>
      <c r="G24" s="31">
        <f>E24-F24</f>
        <v>0</v>
      </c>
      <c r="H24" s="53"/>
      <c r="I24" s="54"/>
    </row>
    <row r="25" spans="1:9" ht="15" customHeight="1" x14ac:dyDescent="0.25">
      <c r="A25" s="55"/>
      <c r="B25" s="46" t="s">
        <v>18</v>
      </c>
      <c r="C25" s="47"/>
      <c r="D25" s="47"/>
      <c r="E25" s="47"/>
      <c r="F25" s="47"/>
      <c r="G25" s="47"/>
      <c r="H25" s="47"/>
      <c r="I25" s="48"/>
    </row>
    <row r="26" spans="1:9" ht="15" customHeight="1" x14ac:dyDescent="0.25">
      <c r="A26" s="55"/>
      <c r="B26" s="30" t="s">
        <v>27</v>
      </c>
      <c r="C26" s="3">
        <v>44134</v>
      </c>
      <c r="D26" s="3">
        <v>44155</v>
      </c>
      <c r="E26" s="3">
        <f>D26-C26</f>
        <v>21</v>
      </c>
      <c r="F26" s="3">
        <v>1</v>
      </c>
      <c r="G26" s="3">
        <f>E26*F26</f>
        <v>21</v>
      </c>
      <c r="H26" s="49" t="s">
        <v>48</v>
      </c>
      <c r="I26" s="41" t="s">
        <v>49</v>
      </c>
    </row>
    <row r="27" spans="1:9" ht="15" customHeight="1" thickBot="1" x14ac:dyDescent="0.3">
      <c r="A27" s="55"/>
      <c r="B27" s="25" t="s">
        <v>56</v>
      </c>
      <c r="C27" s="16">
        <v>19352</v>
      </c>
      <c r="D27" s="16">
        <v>19361</v>
      </c>
      <c r="E27" s="16">
        <f>D27-C27</f>
        <v>9</v>
      </c>
      <c r="F27" s="16">
        <v>1</v>
      </c>
      <c r="G27" s="16">
        <f>E27*F27</f>
        <v>9</v>
      </c>
      <c r="H27" s="50"/>
      <c r="I27" s="42"/>
    </row>
    <row r="28" spans="1:9" ht="15" customHeight="1" x14ac:dyDescent="0.25">
      <c r="A28" s="55"/>
      <c r="B28" s="34" t="s">
        <v>19</v>
      </c>
      <c r="C28" s="35"/>
      <c r="D28" s="35"/>
      <c r="E28" s="35"/>
      <c r="F28" s="35"/>
      <c r="G28" s="35"/>
      <c r="H28" s="35"/>
      <c r="I28" s="36"/>
    </row>
    <row r="29" spans="1:9" ht="15" customHeight="1" x14ac:dyDescent="0.25">
      <c r="A29" s="55"/>
      <c r="B29" s="30" t="s">
        <v>27</v>
      </c>
      <c r="C29" s="3">
        <v>6244</v>
      </c>
      <c r="D29" s="3">
        <v>6266</v>
      </c>
      <c r="E29" s="3">
        <f>D29-C29</f>
        <v>22</v>
      </c>
      <c r="F29" s="3">
        <v>1</v>
      </c>
      <c r="G29" s="3">
        <f>E29*F29</f>
        <v>22</v>
      </c>
      <c r="H29" s="49" t="s">
        <v>50</v>
      </c>
      <c r="I29" s="41" t="s">
        <v>51</v>
      </c>
    </row>
    <row r="30" spans="1:9" ht="15" customHeight="1" thickBot="1" x14ac:dyDescent="0.3">
      <c r="A30" s="55"/>
      <c r="B30" s="25" t="s">
        <v>56</v>
      </c>
      <c r="C30" s="14">
        <v>5587</v>
      </c>
      <c r="D30" s="14">
        <v>5608</v>
      </c>
      <c r="E30" s="14">
        <f>D30-C30</f>
        <v>21</v>
      </c>
      <c r="F30" s="14">
        <v>1</v>
      </c>
      <c r="G30" s="14">
        <f>E30*F30</f>
        <v>21</v>
      </c>
      <c r="H30" s="50"/>
      <c r="I30" s="42"/>
    </row>
    <row r="31" spans="1:9" ht="15" customHeight="1" x14ac:dyDescent="0.25">
      <c r="A31" s="55"/>
      <c r="B31" s="34" t="s">
        <v>20</v>
      </c>
      <c r="C31" s="35"/>
      <c r="D31" s="35"/>
      <c r="E31" s="35"/>
      <c r="F31" s="35"/>
      <c r="G31" s="35"/>
      <c r="H31" s="35"/>
      <c r="I31" s="36"/>
    </row>
    <row r="32" spans="1:9" ht="15" customHeight="1" x14ac:dyDescent="0.25">
      <c r="A32" s="55"/>
      <c r="B32" s="30" t="s">
        <v>27</v>
      </c>
      <c r="C32" s="3">
        <v>18893</v>
      </c>
      <c r="D32" s="3">
        <v>18901</v>
      </c>
      <c r="E32" s="3">
        <f>D32-C32</f>
        <v>8</v>
      </c>
      <c r="F32" s="3">
        <v>1</v>
      </c>
      <c r="G32" s="3">
        <f>E32*F32</f>
        <v>8</v>
      </c>
      <c r="H32" s="49" t="s">
        <v>52</v>
      </c>
      <c r="I32" s="41" t="s">
        <v>53</v>
      </c>
    </row>
    <row r="33" spans="1:9" ht="15" customHeight="1" thickBot="1" x14ac:dyDescent="0.3">
      <c r="A33" s="55"/>
      <c r="B33" s="13" t="s">
        <v>56</v>
      </c>
      <c r="C33" s="14">
        <v>10628</v>
      </c>
      <c r="D33" s="14">
        <v>10632</v>
      </c>
      <c r="E33" s="14">
        <f>D33-C33</f>
        <v>4</v>
      </c>
      <c r="F33" s="14">
        <v>1</v>
      </c>
      <c r="G33" s="14">
        <f>E33*F33</f>
        <v>4</v>
      </c>
      <c r="H33" s="50"/>
      <c r="I33" s="42"/>
    </row>
    <row r="34" spans="1:9" ht="15" customHeight="1" x14ac:dyDescent="0.25">
      <c r="A34" s="55"/>
      <c r="B34" s="46" t="s">
        <v>36</v>
      </c>
      <c r="C34" s="47"/>
      <c r="D34" s="47"/>
      <c r="E34" s="47"/>
      <c r="F34" s="47"/>
      <c r="G34" s="47"/>
      <c r="H34" s="47"/>
      <c r="I34" s="48"/>
    </row>
    <row r="35" spans="1:9" ht="15" customHeight="1" x14ac:dyDescent="0.25">
      <c r="A35" s="55"/>
      <c r="B35" s="25" t="s">
        <v>27</v>
      </c>
      <c r="C35" s="26">
        <v>3660.4</v>
      </c>
      <c r="D35" s="26">
        <v>3671.4</v>
      </c>
      <c r="E35" s="26">
        <f>D35-C35</f>
        <v>11</v>
      </c>
      <c r="F35" s="26">
        <v>1</v>
      </c>
      <c r="G35" s="26">
        <f>E35*F35</f>
        <v>11</v>
      </c>
      <c r="H35" s="49" t="s">
        <v>54</v>
      </c>
      <c r="I35" s="41" t="s">
        <v>55</v>
      </c>
    </row>
    <row r="36" spans="1:9" ht="15" customHeight="1" thickBot="1" x14ac:dyDescent="0.3">
      <c r="A36" s="55"/>
      <c r="B36" s="43" t="s">
        <v>42</v>
      </c>
      <c r="C36" s="44"/>
      <c r="D36" s="44"/>
      <c r="E36" s="44"/>
      <c r="F36" s="45"/>
      <c r="G36" s="14">
        <v>50</v>
      </c>
      <c r="H36" s="50"/>
      <c r="I36" s="42"/>
    </row>
    <row r="37" spans="1:9" ht="15" customHeight="1" x14ac:dyDescent="0.25">
      <c r="A37" s="55"/>
      <c r="B37" s="34" t="s">
        <v>37</v>
      </c>
      <c r="C37" s="35"/>
      <c r="D37" s="35"/>
      <c r="E37" s="35"/>
      <c r="F37" s="35"/>
      <c r="G37" s="35"/>
      <c r="H37" s="35"/>
      <c r="I37" s="36"/>
    </row>
    <row r="38" spans="1:9" ht="15" customHeight="1" x14ac:dyDescent="0.25">
      <c r="A38" s="55"/>
      <c r="B38" s="25" t="s">
        <v>27</v>
      </c>
      <c r="C38" s="26">
        <v>15556</v>
      </c>
      <c r="D38" s="26">
        <v>15556</v>
      </c>
      <c r="E38" s="26">
        <f>D38-C38</f>
        <v>0</v>
      </c>
      <c r="F38" s="26">
        <v>1</v>
      </c>
      <c r="G38" s="26">
        <f>E38*F38</f>
        <v>0</v>
      </c>
      <c r="H38" s="39" t="s">
        <v>59</v>
      </c>
      <c r="I38" s="41" t="s">
        <v>60</v>
      </c>
    </row>
    <row r="39" spans="1:9" ht="15" customHeight="1" thickBot="1" x14ac:dyDescent="0.3">
      <c r="A39" s="55"/>
      <c r="B39" s="43" t="s">
        <v>42</v>
      </c>
      <c r="C39" s="44"/>
      <c r="D39" s="44"/>
      <c r="E39" s="44"/>
      <c r="F39" s="45"/>
      <c r="G39" s="14">
        <v>50</v>
      </c>
      <c r="H39" s="40"/>
      <c r="I39" s="42"/>
    </row>
    <row r="40" spans="1:9" ht="15" customHeight="1" x14ac:dyDescent="0.25">
      <c r="A40" s="55"/>
      <c r="B40" s="34" t="s">
        <v>38</v>
      </c>
      <c r="C40" s="35"/>
      <c r="D40" s="35"/>
      <c r="E40" s="35"/>
      <c r="F40" s="35"/>
      <c r="G40" s="35"/>
      <c r="H40" s="35"/>
      <c r="I40" s="36"/>
    </row>
    <row r="41" spans="1:9" ht="15" customHeight="1" x14ac:dyDescent="0.25">
      <c r="A41" s="55"/>
      <c r="B41" s="25" t="s">
        <v>27</v>
      </c>
      <c r="C41" s="26">
        <v>6769.4</v>
      </c>
      <c r="D41" s="26">
        <v>6775.6</v>
      </c>
      <c r="E41" s="26">
        <f>D41-C41</f>
        <v>6.2000000000007276</v>
      </c>
      <c r="F41" s="26">
        <v>1</v>
      </c>
      <c r="G41" s="26">
        <f>E41*F41</f>
        <v>6.2000000000007276</v>
      </c>
      <c r="H41" s="39" t="s">
        <v>57</v>
      </c>
      <c r="I41" s="41" t="s">
        <v>58</v>
      </c>
    </row>
    <row r="42" spans="1:9" ht="15" customHeight="1" thickBot="1" x14ac:dyDescent="0.3">
      <c r="A42" s="55"/>
      <c r="B42" s="43" t="s">
        <v>42</v>
      </c>
      <c r="C42" s="44"/>
      <c r="D42" s="44"/>
      <c r="E42" s="44"/>
      <c r="F42" s="45"/>
      <c r="G42" s="14">
        <v>50</v>
      </c>
      <c r="H42" s="40"/>
      <c r="I42" s="42"/>
    </row>
    <row r="43" spans="1:9" ht="15" customHeight="1" x14ac:dyDescent="0.25">
      <c r="A43" s="55"/>
      <c r="B43" s="34" t="s">
        <v>41</v>
      </c>
      <c r="C43" s="35"/>
      <c r="D43" s="35"/>
      <c r="E43" s="35"/>
      <c r="F43" s="35"/>
      <c r="G43" s="35"/>
      <c r="H43" s="35"/>
      <c r="I43" s="36"/>
    </row>
    <row r="44" spans="1:9" ht="27.75" customHeight="1" thickBot="1" x14ac:dyDescent="0.3">
      <c r="A44" s="55"/>
      <c r="B44" s="13" t="s">
        <v>27</v>
      </c>
      <c r="C44" s="27">
        <v>791</v>
      </c>
      <c r="D44" s="27">
        <v>794</v>
      </c>
      <c r="E44" s="27">
        <f>D44-C44</f>
        <v>3</v>
      </c>
      <c r="F44" s="27">
        <v>1</v>
      </c>
      <c r="G44" s="27">
        <f>E44*F44</f>
        <v>3</v>
      </c>
      <c r="H44" s="33" t="s">
        <v>63</v>
      </c>
      <c r="I44" s="28" t="s">
        <v>62</v>
      </c>
    </row>
    <row r="45" spans="1:9" ht="23.25" customHeight="1" x14ac:dyDescent="0.25">
      <c r="A45" s="55"/>
      <c r="B45" s="37" t="s">
        <v>44</v>
      </c>
      <c r="C45" s="37"/>
      <c r="D45" s="37"/>
      <c r="E45" s="37"/>
      <c r="F45" s="37"/>
      <c r="G45" s="37"/>
      <c r="H45" s="37"/>
      <c r="I45" s="37"/>
    </row>
    <row r="46" spans="1:9" ht="34.5" customHeight="1" x14ac:dyDescent="0.25">
      <c r="A46" s="55"/>
      <c r="B46" s="38" t="s">
        <v>61</v>
      </c>
      <c r="C46" s="38"/>
      <c r="D46" s="38"/>
      <c r="E46" s="38"/>
      <c r="F46" s="38"/>
      <c r="G46" s="38"/>
      <c r="H46" s="38"/>
      <c r="I46" s="38"/>
    </row>
  </sheetData>
  <mergeCells count="43">
    <mergeCell ref="B28:I28"/>
    <mergeCell ref="H29:H30"/>
    <mergeCell ref="I29:I30"/>
    <mergeCell ref="B31:I31"/>
    <mergeCell ref="H32:H33"/>
    <mergeCell ref="I32:I33"/>
    <mergeCell ref="A1:A46"/>
    <mergeCell ref="B1:I1"/>
    <mergeCell ref="B2:I2"/>
    <mergeCell ref="B3:I3"/>
    <mergeCell ref="B5:I5"/>
    <mergeCell ref="H6:I9"/>
    <mergeCell ref="B10:I10"/>
    <mergeCell ref="H11:H12"/>
    <mergeCell ref="I11:I12"/>
    <mergeCell ref="B13:I13"/>
    <mergeCell ref="H14:I14"/>
    <mergeCell ref="B15:I15"/>
    <mergeCell ref="H16:I16"/>
    <mergeCell ref="H17:H19"/>
    <mergeCell ref="I17:I19"/>
    <mergeCell ref="B20:I20"/>
    <mergeCell ref="H21:I21"/>
    <mergeCell ref="H22:H24"/>
    <mergeCell ref="I22:I24"/>
    <mergeCell ref="B25:I25"/>
    <mergeCell ref="H26:H27"/>
    <mergeCell ref="I26:I27"/>
    <mergeCell ref="B34:I34"/>
    <mergeCell ref="H35:H36"/>
    <mergeCell ref="I35:I36"/>
    <mergeCell ref="B36:F36"/>
    <mergeCell ref="B37:I37"/>
    <mergeCell ref="B43:I43"/>
    <mergeCell ref="B45:I45"/>
    <mergeCell ref="B46:I46"/>
    <mergeCell ref="H38:H39"/>
    <mergeCell ref="I38:I39"/>
    <mergeCell ref="B39:F39"/>
    <mergeCell ref="B40:I40"/>
    <mergeCell ref="H41:H42"/>
    <mergeCell ref="I41:I42"/>
    <mergeCell ref="B42:F42"/>
  </mergeCells>
  <pageMargins left="0.7" right="0.7" top="0.75" bottom="0.75" header="0.3" footer="0.3"/>
  <pageSetup paperSize="9" scale="6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5EA0-9669-464D-BD70-1B03A8F07F47}">
  <dimension ref="A1:M46"/>
  <sheetViews>
    <sheetView topLeftCell="A7" workbookViewId="0">
      <selection activeCell="B1" sqref="B1:I46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 t="s">
        <v>30</v>
      </c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 t="s">
        <v>72</v>
      </c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 t="s">
        <v>26</v>
      </c>
      <c r="C4" s="12" t="s">
        <v>22</v>
      </c>
      <c r="D4" s="23" t="s">
        <v>23</v>
      </c>
      <c r="E4" s="23" t="s">
        <v>29</v>
      </c>
      <c r="F4" s="23" t="s">
        <v>21</v>
      </c>
      <c r="G4" s="23" t="s">
        <v>40</v>
      </c>
      <c r="H4" s="23" t="s">
        <v>64</v>
      </c>
      <c r="I4" s="24" t="s">
        <v>35</v>
      </c>
    </row>
    <row r="5" spans="1:13" ht="15" customHeight="1" x14ac:dyDescent="0.25">
      <c r="A5" s="55"/>
      <c r="B5" s="58" t="s">
        <v>15</v>
      </c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 t="s">
        <v>13</v>
      </c>
      <c r="C6" s="3">
        <v>7584.13</v>
      </c>
      <c r="D6" s="3">
        <v>7598.86</v>
      </c>
      <c r="E6" s="3">
        <f>D6-C6</f>
        <v>14.729999999999563</v>
      </c>
      <c r="F6" s="3">
        <v>1200</v>
      </c>
      <c r="G6" s="19">
        <f>E6*F6</f>
        <v>17675.999999999476</v>
      </c>
      <c r="H6" s="61" t="s">
        <v>39</v>
      </c>
      <c r="I6" s="62"/>
    </row>
    <row r="7" spans="1:13" ht="15" customHeight="1" x14ac:dyDescent="0.25">
      <c r="A7" s="55"/>
      <c r="B7" s="7" t="s">
        <v>14</v>
      </c>
      <c r="C7" s="32">
        <v>7615.25</v>
      </c>
      <c r="D7" s="32">
        <v>7630.04</v>
      </c>
      <c r="E7" s="3">
        <f>D7-C7</f>
        <v>14.789999999999964</v>
      </c>
      <c r="F7" s="3">
        <v>1200</v>
      </c>
      <c r="G7" s="19">
        <f>E7*F7</f>
        <v>17747.999999999956</v>
      </c>
      <c r="H7" s="63"/>
      <c r="I7" s="64"/>
    </row>
    <row r="8" spans="1:13" ht="15" customHeight="1" x14ac:dyDescent="0.25">
      <c r="A8" s="55"/>
      <c r="B8" s="15" t="s">
        <v>31</v>
      </c>
      <c r="C8" s="17" t="s">
        <v>32</v>
      </c>
      <c r="D8" s="8">
        <f>G6</f>
        <v>17675.999999999476</v>
      </c>
      <c r="E8" s="18" t="s">
        <v>33</v>
      </c>
      <c r="F8" s="3">
        <f>G7</f>
        <v>17747.999999999956</v>
      </c>
      <c r="G8" s="20">
        <f>D8/F8</f>
        <v>0.99594320486812704</v>
      </c>
      <c r="H8" s="63"/>
      <c r="I8" s="64"/>
      <c r="M8" s="29"/>
    </row>
    <row r="9" spans="1:13" ht="15" customHeight="1" thickBot="1" x14ac:dyDescent="0.3">
      <c r="A9" s="55"/>
      <c r="B9" s="9" t="s">
        <v>12</v>
      </c>
      <c r="C9" s="10">
        <v>12.35</v>
      </c>
      <c r="D9" s="14">
        <v>12.35</v>
      </c>
      <c r="E9" s="14">
        <v>0.89100000000000001</v>
      </c>
      <c r="F9" s="14">
        <v>1200</v>
      </c>
      <c r="G9" s="21">
        <f>E9*F9</f>
        <v>1069.2</v>
      </c>
      <c r="H9" s="65"/>
      <c r="I9" s="66"/>
    </row>
    <row r="10" spans="1:13" ht="15" customHeight="1" x14ac:dyDescent="0.25">
      <c r="A10" s="55"/>
      <c r="B10" s="58" t="s">
        <v>24</v>
      </c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 t="s">
        <v>13</v>
      </c>
      <c r="C11" s="3">
        <v>1051.72</v>
      </c>
      <c r="D11" s="3">
        <v>1052.8</v>
      </c>
      <c r="E11" s="3">
        <f>D11-C11</f>
        <v>1.0799999999999272</v>
      </c>
      <c r="F11" s="3">
        <v>1000</v>
      </c>
      <c r="G11" s="19">
        <f>E11*F11</f>
        <v>1079.9999999999272</v>
      </c>
      <c r="H11" s="39" t="s">
        <v>70</v>
      </c>
      <c r="I11" s="67" t="s">
        <v>71</v>
      </c>
    </row>
    <row r="12" spans="1:13" ht="15" customHeight="1" thickBot="1" x14ac:dyDescent="0.3">
      <c r="A12" s="55"/>
      <c r="B12" s="9" t="s">
        <v>14</v>
      </c>
      <c r="C12" s="14">
        <v>1064.3399999999999</v>
      </c>
      <c r="D12" s="14">
        <v>1065.44</v>
      </c>
      <c r="E12" s="14">
        <f>D12-C12</f>
        <v>1.1000000000001364</v>
      </c>
      <c r="F12" s="14">
        <v>1000</v>
      </c>
      <c r="G12" s="21">
        <f>E12*F12</f>
        <v>1100.0000000001364</v>
      </c>
      <c r="H12" s="40"/>
      <c r="I12" s="68"/>
    </row>
    <row r="13" spans="1:13" ht="15" customHeight="1" x14ac:dyDescent="0.25">
      <c r="A13" s="55"/>
      <c r="B13" s="69" t="s">
        <v>34</v>
      </c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 t="s">
        <v>25</v>
      </c>
      <c r="C14" s="14">
        <v>413587.32799999998</v>
      </c>
      <c r="D14" s="14">
        <v>417298.65600000002</v>
      </c>
      <c r="E14" s="14">
        <f>D14-C14</f>
        <v>3711.3280000000377</v>
      </c>
      <c r="F14" s="14">
        <v>1</v>
      </c>
      <c r="G14" s="21">
        <f>E14*F14</f>
        <v>3711.3280000000377</v>
      </c>
      <c r="H14" s="72" t="s">
        <v>39</v>
      </c>
      <c r="I14" s="73"/>
    </row>
    <row r="15" spans="1:13" ht="15" customHeight="1" x14ac:dyDescent="0.25">
      <c r="A15" s="55"/>
      <c r="B15" s="58" t="s">
        <v>16</v>
      </c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 t="s">
        <v>13</v>
      </c>
      <c r="C16" s="3">
        <v>672021.2</v>
      </c>
      <c r="D16" s="3">
        <v>672518.3</v>
      </c>
      <c r="E16" s="3">
        <f>D16-C16</f>
        <v>497.10000000009313</v>
      </c>
      <c r="F16" s="3">
        <v>1</v>
      </c>
      <c r="G16" s="19">
        <f>E16*F16</f>
        <v>497.10000000009313</v>
      </c>
      <c r="H16" s="51" t="s">
        <v>43</v>
      </c>
      <c r="I16" s="52"/>
    </row>
    <row r="17" spans="1:9" ht="20.100000000000001" customHeight="1" x14ac:dyDescent="0.25">
      <c r="A17" s="55"/>
      <c r="B17" s="7" t="s">
        <v>14</v>
      </c>
      <c r="C17" s="3">
        <v>701455</v>
      </c>
      <c r="D17" s="3">
        <v>701958.8</v>
      </c>
      <c r="E17" s="3">
        <f>D17-C17</f>
        <v>503.80000000004657</v>
      </c>
      <c r="F17" s="3">
        <v>1</v>
      </c>
      <c r="G17" s="19">
        <f>E17*F17</f>
        <v>503.80000000004657</v>
      </c>
      <c r="H17" s="74" t="s">
        <v>66</v>
      </c>
      <c r="I17" s="52" t="s">
        <v>65</v>
      </c>
    </row>
    <row r="18" spans="1:9" ht="20.100000000000001" customHeight="1" x14ac:dyDescent="0.25">
      <c r="A18" s="55"/>
      <c r="B18" s="7" t="s">
        <v>27</v>
      </c>
      <c r="C18" s="3">
        <v>2151.13</v>
      </c>
      <c r="D18" s="3">
        <v>2158</v>
      </c>
      <c r="E18" s="3">
        <f>D18-C18</f>
        <v>6.8699999999998909</v>
      </c>
      <c r="F18" s="3">
        <v>1</v>
      </c>
      <c r="G18" s="19">
        <f>E18*F18</f>
        <v>6.8699999999998909</v>
      </c>
      <c r="H18" s="75"/>
      <c r="I18" s="52"/>
    </row>
    <row r="19" spans="1:9" ht="20.100000000000001" customHeight="1" thickBot="1" x14ac:dyDescent="0.3">
      <c r="A19" s="55"/>
      <c r="B19" s="9" t="s">
        <v>28</v>
      </c>
      <c r="C19" s="10">
        <v>800</v>
      </c>
      <c r="D19" s="14"/>
      <c r="E19" s="14">
        <f>C19+D19</f>
        <v>800</v>
      </c>
      <c r="F19" s="14">
        <v>750</v>
      </c>
      <c r="G19" s="21">
        <f>E19-F19</f>
        <v>50</v>
      </c>
      <c r="H19" s="40"/>
      <c r="I19" s="54"/>
    </row>
    <row r="20" spans="1:9" ht="15" customHeight="1" x14ac:dyDescent="0.25">
      <c r="A20" s="55"/>
      <c r="B20" s="69" t="s">
        <v>17</v>
      </c>
      <c r="C20" s="70"/>
      <c r="D20" s="70"/>
      <c r="E20" s="70"/>
      <c r="F20" s="70"/>
      <c r="G20" s="70"/>
      <c r="H20" s="70"/>
      <c r="I20" s="71"/>
    </row>
    <row r="21" spans="1:9" ht="15" customHeight="1" x14ac:dyDescent="0.25">
      <c r="A21" s="55"/>
      <c r="B21" s="7" t="s">
        <v>13</v>
      </c>
      <c r="C21" s="8">
        <v>54530.194000000003</v>
      </c>
      <c r="D21" s="8">
        <v>54530.194000000003</v>
      </c>
      <c r="E21" s="8">
        <f>D21-C21</f>
        <v>0</v>
      </c>
      <c r="F21" s="8">
        <v>1</v>
      </c>
      <c r="G21" s="22">
        <f>E21*F21</f>
        <v>0</v>
      </c>
      <c r="H21" s="51" t="s">
        <v>46</v>
      </c>
      <c r="I21" s="52"/>
    </row>
    <row r="22" spans="1:9" ht="15" customHeight="1" x14ac:dyDescent="0.25">
      <c r="A22" s="55"/>
      <c r="B22" s="7" t="s">
        <v>14</v>
      </c>
      <c r="C22" s="8">
        <v>60820.597999999998</v>
      </c>
      <c r="D22" s="8">
        <v>60820.597999999998</v>
      </c>
      <c r="E22" s="8">
        <f>D22-C22</f>
        <v>0</v>
      </c>
      <c r="F22" s="8">
        <v>1</v>
      </c>
      <c r="G22" s="22">
        <f>E22*F22</f>
        <v>0</v>
      </c>
      <c r="H22" s="51" t="s">
        <v>45</v>
      </c>
      <c r="I22" s="52" t="s">
        <v>47</v>
      </c>
    </row>
    <row r="23" spans="1:9" ht="15" customHeight="1" x14ac:dyDescent="0.25">
      <c r="A23" s="55"/>
      <c r="B23" s="7" t="s">
        <v>27</v>
      </c>
      <c r="C23" s="8">
        <v>4582.3999999999996</v>
      </c>
      <c r="D23" s="8">
        <v>4582.3999999999996</v>
      </c>
      <c r="E23" s="8">
        <f>D23-C23</f>
        <v>0</v>
      </c>
      <c r="F23" s="8">
        <v>1</v>
      </c>
      <c r="G23" s="22">
        <f>E23*F23</f>
        <v>0</v>
      </c>
      <c r="H23" s="51"/>
      <c r="I23" s="52"/>
    </row>
    <row r="24" spans="1:9" ht="15" customHeight="1" thickBot="1" x14ac:dyDescent="0.3">
      <c r="A24" s="55"/>
      <c r="B24" s="9" t="s">
        <v>28</v>
      </c>
      <c r="C24" s="10">
        <v>400</v>
      </c>
      <c r="D24" s="10">
        <v>0</v>
      </c>
      <c r="E24" s="10">
        <f>C24+D24</f>
        <v>400</v>
      </c>
      <c r="F24" s="10">
        <v>400</v>
      </c>
      <c r="G24" s="31">
        <f>E24-F24</f>
        <v>0</v>
      </c>
      <c r="H24" s="53"/>
      <c r="I24" s="54"/>
    </row>
    <row r="25" spans="1:9" ht="15" customHeight="1" x14ac:dyDescent="0.25">
      <c r="A25" s="55"/>
      <c r="B25" s="46" t="s">
        <v>18</v>
      </c>
      <c r="C25" s="47"/>
      <c r="D25" s="47"/>
      <c r="E25" s="47"/>
      <c r="F25" s="47"/>
      <c r="G25" s="47"/>
      <c r="H25" s="47"/>
      <c r="I25" s="48"/>
    </row>
    <row r="26" spans="1:9" ht="15" customHeight="1" x14ac:dyDescent="0.25">
      <c r="A26" s="55"/>
      <c r="B26" s="30" t="s">
        <v>27</v>
      </c>
      <c r="C26" s="3">
        <v>44186</v>
      </c>
      <c r="D26" s="3">
        <v>44206</v>
      </c>
      <c r="E26" s="3">
        <f>D26-C26</f>
        <v>20</v>
      </c>
      <c r="F26" s="3">
        <v>1</v>
      </c>
      <c r="G26" s="3">
        <f>E26*F26</f>
        <v>20</v>
      </c>
      <c r="H26" s="49" t="s">
        <v>48</v>
      </c>
      <c r="I26" s="41" t="s">
        <v>49</v>
      </c>
    </row>
    <row r="27" spans="1:9" ht="15" customHeight="1" thickBot="1" x14ac:dyDescent="0.3">
      <c r="A27" s="55"/>
      <c r="B27" s="25" t="s">
        <v>56</v>
      </c>
      <c r="C27" s="16">
        <v>19372</v>
      </c>
      <c r="D27" s="16">
        <v>19381</v>
      </c>
      <c r="E27" s="16">
        <f>D27-C27</f>
        <v>9</v>
      </c>
      <c r="F27" s="16">
        <v>1</v>
      </c>
      <c r="G27" s="16">
        <f>E27*F27</f>
        <v>9</v>
      </c>
      <c r="H27" s="50"/>
      <c r="I27" s="42"/>
    </row>
    <row r="28" spans="1:9" ht="15" customHeight="1" x14ac:dyDescent="0.25">
      <c r="A28" s="55"/>
      <c r="B28" s="34" t="s">
        <v>19</v>
      </c>
      <c r="C28" s="35"/>
      <c r="D28" s="35"/>
      <c r="E28" s="35"/>
      <c r="F28" s="35"/>
      <c r="G28" s="35"/>
      <c r="H28" s="35"/>
      <c r="I28" s="36"/>
    </row>
    <row r="29" spans="1:9" ht="15" customHeight="1" x14ac:dyDescent="0.25">
      <c r="A29" s="55"/>
      <c r="B29" s="30" t="s">
        <v>27</v>
      </c>
      <c r="C29" s="3">
        <v>6296</v>
      </c>
      <c r="D29" s="3">
        <v>6302</v>
      </c>
      <c r="E29" s="3">
        <f>D29-C29</f>
        <v>6</v>
      </c>
      <c r="F29" s="3">
        <v>1</v>
      </c>
      <c r="G29" s="3">
        <f>E29*F29</f>
        <v>6</v>
      </c>
      <c r="H29" s="49" t="s">
        <v>50</v>
      </c>
      <c r="I29" s="41" t="s">
        <v>51</v>
      </c>
    </row>
    <row r="30" spans="1:9" ht="15" customHeight="1" thickBot="1" x14ac:dyDescent="0.3">
      <c r="A30" s="55"/>
      <c r="B30" s="25" t="s">
        <v>56</v>
      </c>
      <c r="C30" s="14">
        <v>5634</v>
      </c>
      <c r="D30" s="14">
        <v>5638</v>
      </c>
      <c r="E30" s="14">
        <f>D30-C30</f>
        <v>4</v>
      </c>
      <c r="F30" s="14">
        <v>1</v>
      </c>
      <c r="G30" s="14">
        <f>E30*F30</f>
        <v>4</v>
      </c>
      <c r="H30" s="50"/>
      <c r="I30" s="42"/>
    </row>
    <row r="31" spans="1:9" ht="15" customHeight="1" x14ac:dyDescent="0.25">
      <c r="A31" s="55"/>
      <c r="B31" s="34" t="s">
        <v>20</v>
      </c>
      <c r="C31" s="35"/>
      <c r="D31" s="35"/>
      <c r="E31" s="35"/>
      <c r="F31" s="35"/>
      <c r="G31" s="35"/>
      <c r="H31" s="35"/>
      <c r="I31" s="36"/>
    </row>
    <row r="32" spans="1:9" ht="15" customHeight="1" x14ac:dyDescent="0.25">
      <c r="A32" s="55"/>
      <c r="B32" s="30" t="s">
        <v>27</v>
      </c>
      <c r="C32" s="3">
        <v>18926</v>
      </c>
      <c r="D32" s="3">
        <v>18936</v>
      </c>
      <c r="E32" s="3">
        <f>D32-C32</f>
        <v>10</v>
      </c>
      <c r="F32" s="3">
        <v>1</v>
      </c>
      <c r="G32" s="3">
        <f>E32*F32</f>
        <v>10</v>
      </c>
      <c r="H32" s="49" t="s">
        <v>52</v>
      </c>
      <c r="I32" s="41" t="s">
        <v>53</v>
      </c>
    </row>
    <row r="33" spans="1:9" ht="15" customHeight="1" thickBot="1" x14ac:dyDescent="0.3">
      <c r="A33" s="55"/>
      <c r="B33" s="13" t="s">
        <v>56</v>
      </c>
      <c r="C33" s="14">
        <v>10648</v>
      </c>
      <c r="D33" s="14">
        <v>10653</v>
      </c>
      <c r="E33" s="14">
        <f>D33-C33</f>
        <v>5</v>
      </c>
      <c r="F33" s="14">
        <v>1</v>
      </c>
      <c r="G33" s="14">
        <f>E33*F33</f>
        <v>5</v>
      </c>
      <c r="H33" s="50"/>
      <c r="I33" s="42"/>
    </row>
    <row r="34" spans="1:9" ht="15" customHeight="1" x14ac:dyDescent="0.25">
      <c r="A34" s="55"/>
      <c r="B34" s="46" t="s">
        <v>36</v>
      </c>
      <c r="C34" s="47"/>
      <c r="D34" s="47"/>
      <c r="E34" s="47"/>
      <c r="F34" s="47"/>
      <c r="G34" s="47"/>
      <c r="H34" s="47"/>
      <c r="I34" s="48"/>
    </row>
    <row r="35" spans="1:9" ht="15" customHeight="1" x14ac:dyDescent="0.25">
      <c r="A35" s="55"/>
      <c r="B35" s="25" t="s">
        <v>27</v>
      </c>
      <c r="C35" s="26">
        <v>3691.3</v>
      </c>
      <c r="D35" s="26">
        <v>3703.7</v>
      </c>
      <c r="E35" s="26">
        <f>D35-C35</f>
        <v>12.399999999999636</v>
      </c>
      <c r="F35" s="26">
        <v>1</v>
      </c>
      <c r="G35" s="26">
        <f>E35*F35</f>
        <v>12.399999999999636</v>
      </c>
      <c r="H35" s="49" t="s">
        <v>54</v>
      </c>
      <c r="I35" s="41" t="s">
        <v>55</v>
      </c>
    </row>
    <row r="36" spans="1:9" ht="15" customHeight="1" thickBot="1" x14ac:dyDescent="0.3">
      <c r="A36" s="55"/>
      <c r="B36" s="43" t="s">
        <v>42</v>
      </c>
      <c r="C36" s="44"/>
      <c r="D36" s="44"/>
      <c r="E36" s="44"/>
      <c r="F36" s="45"/>
      <c r="G36" s="14">
        <v>50</v>
      </c>
      <c r="H36" s="50"/>
      <c r="I36" s="42"/>
    </row>
    <row r="37" spans="1:9" ht="15" customHeight="1" x14ac:dyDescent="0.25">
      <c r="A37" s="55"/>
      <c r="B37" s="34" t="s">
        <v>37</v>
      </c>
      <c r="C37" s="35"/>
      <c r="D37" s="35"/>
      <c r="E37" s="35"/>
      <c r="F37" s="35"/>
      <c r="G37" s="35"/>
      <c r="H37" s="35"/>
      <c r="I37" s="36"/>
    </row>
    <row r="38" spans="1:9" ht="15" customHeight="1" x14ac:dyDescent="0.25">
      <c r="A38" s="55"/>
      <c r="B38" s="25" t="s">
        <v>27</v>
      </c>
      <c r="C38" s="26">
        <v>15556</v>
      </c>
      <c r="D38" s="26">
        <v>15556</v>
      </c>
      <c r="E38" s="26">
        <f>D38-C38</f>
        <v>0</v>
      </c>
      <c r="F38" s="26">
        <v>1</v>
      </c>
      <c r="G38" s="26">
        <f>E38*F38</f>
        <v>0</v>
      </c>
      <c r="H38" s="39" t="s">
        <v>59</v>
      </c>
      <c r="I38" s="41" t="s">
        <v>60</v>
      </c>
    </row>
    <row r="39" spans="1:9" ht="15" customHeight="1" thickBot="1" x14ac:dyDescent="0.3">
      <c r="A39" s="55"/>
      <c r="B39" s="43" t="s">
        <v>42</v>
      </c>
      <c r="C39" s="44"/>
      <c r="D39" s="44"/>
      <c r="E39" s="44"/>
      <c r="F39" s="45"/>
      <c r="G39" s="14">
        <v>50</v>
      </c>
      <c r="H39" s="40"/>
      <c r="I39" s="42"/>
    </row>
    <row r="40" spans="1:9" ht="15" customHeight="1" x14ac:dyDescent="0.25">
      <c r="A40" s="55"/>
      <c r="B40" s="34" t="s">
        <v>38</v>
      </c>
      <c r="C40" s="35"/>
      <c r="D40" s="35"/>
      <c r="E40" s="35"/>
      <c r="F40" s="35"/>
      <c r="G40" s="35"/>
      <c r="H40" s="35"/>
      <c r="I40" s="36"/>
    </row>
    <row r="41" spans="1:9" ht="15" customHeight="1" x14ac:dyDescent="0.25">
      <c r="A41" s="55"/>
      <c r="B41" s="25" t="s">
        <v>27</v>
      </c>
      <c r="C41" s="26">
        <v>6785</v>
      </c>
      <c r="D41" s="26">
        <v>6791</v>
      </c>
      <c r="E41" s="26">
        <f>D41-C41</f>
        <v>6</v>
      </c>
      <c r="F41" s="26">
        <v>1</v>
      </c>
      <c r="G41" s="26">
        <f>E41*F41</f>
        <v>6</v>
      </c>
      <c r="H41" s="39" t="s">
        <v>57</v>
      </c>
      <c r="I41" s="41" t="s">
        <v>58</v>
      </c>
    </row>
    <row r="42" spans="1:9" ht="15" customHeight="1" thickBot="1" x14ac:dyDescent="0.3">
      <c r="A42" s="55"/>
      <c r="B42" s="43" t="s">
        <v>42</v>
      </c>
      <c r="C42" s="44"/>
      <c r="D42" s="44"/>
      <c r="E42" s="44"/>
      <c r="F42" s="45"/>
      <c r="G42" s="14">
        <v>50</v>
      </c>
      <c r="H42" s="40"/>
      <c r="I42" s="42"/>
    </row>
    <row r="43" spans="1:9" ht="15" customHeight="1" x14ac:dyDescent="0.25">
      <c r="A43" s="55"/>
      <c r="B43" s="34" t="s">
        <v>41</v>
      </c>
      <c r="C43" s="35"/>
      <c r="D43" s="35"/>
      <c r="E43" s="35"/>
      <c r="F43" s="35"/>
      <c r="G43" s="35"/>
      <c r="H43" s="35"/>
      <c r="I43" s="36"/>
    </row>
    <row r="44" spans="1:9" ht="27.75" customHeight="1" thickBot="1" x14ac:dyDescent="0.3">
      <c r="A44" s="55"/>
      <c r="B44" s="13" t="s">
        <v>27</v>
      </c>
      <c r="C44" s="27">
        <v>801</v>
      </c>
      <c r="D44" s="27">
        <v>806</v>
      </c>
      <c r="E44" s="27">
        <f>D44-C44</f>
        <v>5</v>
      </c>
      <c r="F44" s="27">
        <v>1</v>
      </c>
      <c r="G44" s="27">
        <f>E44*F44</f>
        <v>5</v>
      </c>
      <c r="H44" s="33" t="s">
        <v>63</v>
      </c>
      <c r="I44" s="28" t="s">
        <v>62</v>
      </c>
    </row>
    <row r="45" spans="1:9" ht="23.25" customHeight="1" x14ac:dyDescent="0.25">
      <c r="A45" s="55"/>
      <c r="B45" s="37" t="s">
        <v>44</v>
      </c>
      <c r="C45" s="37"/>
      <c r="D45" s="37"/>
      <c r="E45" s="37"/>
      <c r="F45" s="37"/>
      <c r="G45" s="37"/>
      <c r="H45" s="37"/>
      <c r="I45" s="37"/>
    </row>
    <row r="46" spans="1:9" ht="34.5" customHeight="1" x14ac:dyDescent="0.25">
      <c r="A46" s="55"/>
      <c r="B46" s="38" t="s">
        <v>61</v>
      </c>
      <c r="C46" s="38"/>
      <c r="D46" s="38"/>
      <c r="E46" s="38"/>
      <c r="F46" s="38"/>
      <c r="G46" s="38"/>
      <c r="H46" s="38"/>
      <c r="I46" s="38"/>
    </row>
  </sheetData>
  <mergeCells count="43">
    <mergeCell ref="B20:I20"/>
    <mergeCell ref="A1:A46"/>
    <mergeCell ref="B1:I1"/>
    <mergeCell ref="B2:I2"/>
    <mergeCell ref="B3:I3"/>
    <mergeCell ref="B5:I5"/>
    <mergeCell ref="H6:I9"/>
    <mergeCell ref="B10:I10"/>
    <mergeCell ref="H11:H12"/>
    <mergeCell ref="I11:I12"/>
    <mergeCell ref="B13:I13"/>
    <mergeCell ref="H14:I14"/>
    <mergeCell ref="B15:I15"/>
    <mergeCell ref="H16:I16"/>
    <mergeCell ref="H17:H19"/>
    <mergeCell ref="I17:I19"/>
    <mergeCell ref="H21:I21"/>
    <mergeCell ref="H22:H24"/>
    <mergeCell ref="I22:I24"/>
    <mergeCell ref="B25:I25"/>
    <mergeCell ref="H26:H27"/>
    <mergeCell ref="I26:I27"/>
    <mergeCell ref="H38:H39"/>
    <mergeCell ref="I38:I39"/>
    <mergeCell ref="B39:F39"/>
    <mergeCell ref="B28:I28"/>
    <mergeCell ref="H29:H30"/>
    <mergeCell ref="I29:I30"/>
    <mergeCell ref="B31:I31"/>
    <mergeCell ref="H32:H33"/>
    <mergeCell ref="I32:I33"/>
    <mergeCell ref="B34:I34"/>
    <mergeCell ref="H35:H36"/>
    <mergeCell ref="I35:I36"/>
    <mergeCell ref="B36:F36"/>
    <mergeCell ref="B37:I37"/>
    <mergeCell ref="B46:I46"/>
    <mergeCell ref="B40:I40"/>
    <mergeCell ref="H41:H42"/>
    <mergeCell ref="I41:I42"/>
    <mergeCell ref="B42:F42"/>
    <mergeCell ref="B43:I43"/>
    <mergeCell ref="B45:I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893A-9954-4C5F-A125-C87D113787E9}">
  <dimension ref="A1:M51"/>
  <sheetViews>
    <sheetView topLeftCell="A4" workbookViewId="0">
      <selection activeCell="B51" sqref="B1:I51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 t="s">
        <v>30</v>
      </c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 t="s">
        <v>73</v>
      </c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 t="s">
        <v>26</v>
      </c>
      <c r="C4" s="12" t="s">
        <v>22</v>
      </c>
      <c r="D4" s="23" t="s">
        <v>23</v>
      </c>
      <c r="E4" s="23" t="s">
        <v>29</v>
      </c>
      <c r="F4" s="23" t="s">
        <v>21</v>
      </c>
      <c r="G4" s="23" t="s">
        <v>40</v>
      </c>
      <c r="H4" s="23" t="s">
        <v>64</v>
      </c>
      <c r="I4" s="24" t="s">
        <v>35</v>
      </c>
    </row>
    <row r="5" spans="1:13" ht="15" customHeight="1" x14ac:dyDescent="0.25">
      <c r="A5" s="55"/>
      <c r="B5" s="58" t="s">
        <v>15</v>
      </c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 t="s">
        <v>13</v>
      </c>
      <c r="C6" s="3">
        <v>7598.86</v>
      </c>
      <c r="D6" s="3">
        <v>7608.95</v>
      </c>
      <c r="E6" s="3">
        <f>D6-C6</f>
        <v>10.090000000000146</v>
      </c>
      <c r="F6" s="3">
        <v>1200</v>
      </c>
      <c r="G6" s="19">
        <f>E6*F6</f>
        <v>12108.000000000175</v>
      </c>
      <c r="H6" s="61" t="s">
        <v>39</v>
      </c>
      <c r="I6" s="62"/>
    </row>
    <row r="7" spans="1:13" ht="15" customHeight="1" x14ac:dyDescent="0.25">
      <c r="A7" s="55"/>
      <c r="B7" s="7" t="s">
        <v>14</v>
      </c>
      <c r="C7" s="32">
        <v>7630.04</v>
      </c>
      <c r="D7" s="32">
        <v>7640.17</v>
      </c>
      <c r="E7" s="3">
        <f>D7-C7</f>
        <v>10.130000000000109</v>
      </c>
      <c r="F7" s="3">
        <v>1200</v>
      </c>
      <c r="G7" s="19">
        <f>E7*F7</f>
        <v>12156.000000000131</v>
      </c>
      <c r="H7" s="63"/>
      <c r="I7" s="64"/>
    </row>
    <row r="8" spans="1:13" ht="15" customHeight="1" x14ac:dyDescent="0.25">
      <c r="A8" s="55"/>
      <c r="B8" s="15" t="s">
        <v>31</v>
      </c>
      <c r="C8" s="17" t="s">
        <v>32</v>
      </c>
      <c r="D8" s="8">
        <f>G6</f>
        <v>12108.000000000175</v>
      </c>
      <c r="E8" s="18" t="s">
        <v>33</v>
      </c>
      <c r="F8" s="3">
        <f>G7</f>
        <v>12156.000000000131</v>
      </c>
      <c r="G8" s="20">
        <f>D8/F8</f>
        <v>0.99605133267522572</v>
      </c>
      <c r="H8" s="63"/>
      <c r="I8" s="64"/>
      <c r="M8" s="29"/>
    </row>
    <row r="9" spans="1:13" ht="15" customHeight="1" thickBot="1" x14ac:dyDescent="0.3">
      <c r="A9" s="55"/>
      <c r="B9" s="9" t="s">
        <v>12</v>
      </c>
      <c r="C9" s="10">
        <v>12.35</v>
      </c>
      <c r="D9" s="14">
        <v>12.35</v>
      </c>
      <c r="E9" s="14">
        <v>0.89100000000000001</v>
      </c>
      <c r="F9" s="14">
        <v>1200</v>
      </c>
      <c r="G9" s="21">
        <f>E9*F9</f>
        <v>1069.2</v>
      </c>
      <c r="H9" s="65"/>
      <c r="I9" s="66"/>
    </row>
    <row r="10" spans="1:13" ht="15" customHeight="1" x14ac:dyDescent="0.25">
      <c r="A10" s="55"/>
      <c r="B10" s="58" t="s">
        <v>24</v>
      </c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 t="s">
        <v>13</v>
      </c>
      <c r="C11" s="3">
        <v>1052.8</v>
      </c>
      <c r="D11" s="3">
        <v>1053.25</v>
      </c>
      <c r="E11" s="3">
        <f>D11-C11</f>
        <v>0.45000000000004547</v>
      </c>
      <c r="F11" s="3">
        <v>1000</v>
      </c>
      <c r="G11" s="19">
        <f>E11*F11</f>
        <v>450.00000000004547</v>
      </c>
      <c r="H11" s="39" t="s">
        <v>70</v>
      </c>
      <c r="I11" s="67" t="s">
        <v>71</v>
      </c>
    </row>
    <row r="12" spans="1:13" ht="15" customHeight="1" thickBot="1" x14ac:dyDescent="0.3">
      <c r="A12" s="55"/>
      <c r="B12" s="9" t="s">
        <v>14</v>
      </c>
      <c r="C12" s="14">
        <v>1065.44</v>
      </c>
      <c r="D12" s="14">
        <v>1065.9100000000001</v>
      </c>
      <c r="E12" s="14">
        <f>D12-C12</f>
        <v>0.47000000000002728</v>
      </c>
      <c r="F12" s="14">
        <v>1000</v>
      </c>
      <c r="G12" s="21">
        <f>E12*F12</f>
        <v>470.00000000002728</v>
      </c>
      <c r="H12" s="40"/>
      <c r="I12" s="68"/>
    </row>
    <row r="13" spans="1:13" ht="15" customHeight="1" x14ac:dyDescent="0.25">
      <c r="A13" s="55"/>
      <c r="B13" s="69" t="s">
        <v>34</v>
      </c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 t="s">
        <v>25</v>
      </c>
      <c r="C14" s="14">
        <v>417298.65600000002</v>
      </c>
      <c r="D14" s="14">
        <v>421166.4</v>
      </c>
      <c r="E14" s="14">
        <f>D14-C14</f>
        <v>3867.7440000000061</v>
      </c>
      <c r="F14" s="14">
        <v>1</v>
      </c>
      <c r="G14" s="21">
        <f>E14*F14</f>
        <v>3867.7440000000061</v>
      </c>
      <c r="H14" s="72" t="s">
        <v>39</v>
      </c>
      <c r="I14" s="73"/>
    </row>
    <row r="15" spans="1:13" ht="15" customHeight="1" x14ac:dyDescent="0.25">
      <c r="A15" s="55"/>
      <c r="B15" s="58" t="s">
        <v>16</v>
      </c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 t="s">
        <v>13</v>
      </c>
      <c r="C16" s="3">
        <v>672518.3</v>
      </c>
      <c r="D16" s="3">
        <v>676008.7</v>
      </c>
      <c r="E16" s="3">
        <f>D16-C16</f>
        <v>3490.3999999999069</v>
      </c>
      <c r="F16" s="3">
        <v>1</v>
      </c>
      <c r="G16" s="19">
        <f>E16*F16</f>
        <v>3490.3999999999069</v>
      </c>
      <c r="H16" s="51" t="s">
        <v>43</v>
      </c>
      <c r="I16" s="52"/>
    </row>
    <row r="17" spans="1:9" ht="20.100000000000001" customHeight="1" x14ac:dyDescent="0.25">
      <c r="A17" s="55"/>
      <c r="B17" s="7" t="s">
        <v>14</v>
      </c>
      <c r="C17" s="3">
        <v>701958.8</v>
      </c>
      <c r="D17" s="3">
        <v>705475.5</v>
      </c>
      <c r="E17" s="3">
        <f>D17-C17</f>
        <v>3516.6999999999534</v>
      </c>
      <c r="F17" s="3">
        <v>1</v>
      </c>
      <c r="G17" s="19">
        <f>E17*F17</f>
        <v>3516.6999999999534</v>
      </c>
      <c r="H17" s="74" t="s">
        <v>66</v>
      </c>
      <c r="I17" s="52" t="s">
        <v>65</v>
      </c>
    </row>
    <row r="18" spans="1:9" ht="20.100000000000001" customHeight="1" x14ac:dyDescent="0.25">
      <c r="A18" s="55"/>
      <c r="B18" s="7" t="s">
        <v>27</v>
      </c>
      <c r="C18" s="3">
        <v>2158</v>
      </c>
      <c r="D18" s="3">
        <v>2167</v>
      </c>
      <c r="E18" s="3">
        <f>D18-C18</f>
        <v>9</v>
      </c>
      <c r="F18" s="3">
        <v>1</v>
      </c>
      <c r="G18" s="19">
        <f>E18*F18</f>
        <v>9</v>
      </c>
      <c r="H18" s="75"/>
      <c r="I18" s="52"/>
    </row>
    <row r="19" spans="1:9" ht="20.100000000000001" customHeight="1" thickBot="1" x14ac:dyDescent="0.3">
      <c r="A19" s="55"/>
      <c r="B19" s="9" t="s">
        <v>28</v>
      </c>
      <c r="C19" s="10">
        <v>1000</v>
      </c>
      <c r="D19" s="14">
        <v>800</v>
      </c>
      <c r="E19" s="14">
        <f>C19+D19</f>
        <v>1800</v>
      </c>
      <c r="F19" s="14">
        <v>700</v>
      </c>
      <c r="G19" s="21">
        <f>E19-F19</f>
        <v>1100</v>
      </c>
      <c r="H19" s="40"/>
      <c r="I19" s="54"/>
    </row>
    <row r="20" spans="1:9" ht="20.100000000000001" customHeight="1" x14ac:dyDescent="0.25">
      <c r="A20" s="55"/>
      <c r="B20" s="69" t="s">
        <v>75</v>
      </c>
      <c r="C20" s="70"/>
      <c r="D20" s="70"/>
      <c r="E20" s="70"/>
      <c r="F20" s="70"/>
      <c r="G20" s="70"/>
      <c r="H20" s="70"/>
      <c r="I20" s="71"/>
    </row>
    <row r="21" spans="1:9" ht="20.100000000000001" customHeight="1" x14ac:dyDescent="0.25">
      <c r="A21" s="55"/>
      <c r="B21" s="7" t="s">
        <v>13</v>
      </c>
      <c r="C21" s="8">
        <v>154344</v>
      </c>
      <c r="D21" s="8">
        <v>160894</v>
      </c>
      <c r="E21" s="8">
        <f>D21-C21</f>
        <v>6550</v>
      </c>
      <c r="F21" s="8">
        <v>1</v>
      </c>
      <c r="G21" s="22">
        <f>E21*F21</f>
        <v>6550</v>
      </c>
      <c r="H21" s="51" t="s">
        <v>46</v>
      </c>
      <c r="I21" s="52"/>
    </row>
    <row r="22" spans="1:9" ht="20.100000000000001" customHeight="1" x14ac:dyDescent="0.25">
      <c r="A22" s="55"/>
      <c r="B22" s="7" t="s">
        <v>14</v>
      </c>
      <c r="C22" s="8">
        <v>173567</v>
      </c>
      <c r="D22" s="8">
        <v>180533</v>
      </c>
      <c r="E22" s="8">
        <f>D22-C22</f>
        <v>6966</v>
      </c>
      <c r="F22" s="8">
        <v>1</v>
      </c>
      <c r="G22" s="22">
        <f>E22*F22</f>
        <v>6966</v>
      </c>
      <c r="H22" s="51" t="s">
        <v>74</v>
      </c>
      <c r="I22" s="52" t="s">
        <v>74</v>
      </c>
    </row>
    <row r="23" spans="1:9" ht="20.100000000000001" customHeight="1" x14ac:dyDescent="0.25">
      <c r="A23" s="55"/>
      <c r="B23" s="7" t="s">
        <v>27</v>
      </c>
      <c r="C23" s="8">
        <v>809.6</v>
      </c>
      <c r="D23" s="8">
        <v>826</v>
      </c>
      <c r="E23" s="8">
        <f>D23-C23</f>
        <v>16.399999999999977</v>
      </c>
      <c r="F23" s="8">
        <v>1</v>
      </c>
      <c r="G23" s="22">
        <f>E23*F23</f>
        <v>16.399999999999977</v>
      </c>
      <c r="H23" s="51"/>
      <c r="I23" s="52"/>
    </row>
    <row r="24" spans="1:9" ht="20.100000000000001" customHeight="1" thickBot="1" x14ac:dyDescent="0.3">
      <c r="A24" s="55"/>
      <c r="B24" s="9" t="s">
        <v>28</v>
      </c>
      <c r="C24" s="10">
        <v>1000</v>
      </c>
      <c r="D24" s="10">
        <v>2000</v>
      </c>
      <c r="E24" s="10">
        <f>C24+D24</f>
        <v>3000</v>
      </c>
      <c r="F24" s="10">
        <v>800</v>
      </c>
      <c r="G24" s="31">
        <f>E24-F24</f>
        <v>2200</v>
      </c>
      <c r="H24" s="53"/>
      <c r="I24" s="54"/>
    </row>
    <row r="25" spans="1:9" ht="15" customHeight="1" x14ac:dyDescent="0.25">
      <c r="A25" s="55"/>
      <c r="B25" s="69" t="s">
        <v>17</v>
      </c>
      <c r="C25" s="70"/>
      <c r="D25" s="70"/>
      <c r="E25" s="70"/>
      <c r="F25" s="70"/>
      <c r="G25" s="70"/>
      <c r="H25" s="70"/>
      <c r="I25" s="71"/>
    </row>
    <row r="26" spans="1:9" ht="15" customHeight="1" x14ac:dyDescent="0.25">
      <c r="A26" s="55"/>
      <c r="B26" s="7" t="s">
        <v>13</v>
      </c>
      <c r="C26" s="8">
        <v>54530.194000000003</v>
      </c>
      <c r="D26" s="8">
        <v>54530.194000000003</v>
      </c>
      <c r="E26" s="8">
        <f>D26-C26</f>
        <v>0</v>
      </c>
      <c r="F26" s="8">
        <v>1</v>
      </c>
      <c r="G26" s="22">
        <f>E26*F26</f>
        <v>0</v>
      </c>
      <c r="H26" s="51" t="s">
        <v>46</v>
      </c>
      <c r="I26" s="52"/>
    </row>
    <row r="27" spans="1:9" ht="15" customHeight="1" x14ac:dyDescent="0.25">
      <c r="A27" s="55"/>
      <c r="B27" s="7" t="s">
        <v>14</v>
      </c>
      <c r="C27" s="8">
        <v>60820.597999999998</v>
      </c>
      <c r="D27" s="8">
        <v>60820.597999999998</v>
      </c>
      <c r="E27" s="8">
        <f>D27-C27</f>
        <v>0</v>
      </c>
      <c r="F27" s="8">
        <v>1</v>
      </c>
      <c r="G27" s="22">
        <f>E27*F27</f>
        <v>0</v>
      </c>
      <c r="H27" s="51" t="s">
        <v>45</v>
      </c>
      <c r="I27" s="52" t="s">
        <v>47</v>
      </c>
    </row>
    <row r="28" spans="1:9" ht="15" customHeight="1" x14ac:dyDescent="0.25">
      <c r="A28" s="55"/>
      <c r="B28" s="7" t="s">
        <v>27</v>
      </c>
      <c r="C28" s="8">
        <v>4582.3999999999996</v>
      </c>
      <c r="D28" s="8">
        <v>4582.3999999999996</v>
      </c>
      <c r="E28" s="8">
        <f>D28-C28</f>
        <v>0</v>
      </c>
      <c r="F28" s="8">
        <v>1</v>
      </c>
      <c r="G28" s="22">
        <f>E28*F28</f>
        <v>0</v>
      </c>
      <c r="H28" s="51"/>
      <c r="I28" s="52"/>
    </row>
    <row r="29" spans="1:9" ht="15" customHeight="1" thickBot="1" x14ac:dyDescent="0.3">
      <c r="A29" s="55"/>
      <c r="B29" s="9" t="s">
        <v>28</v>
      </c>
      <c r="C29" s="10">
        <v>400</v>
      </c>
      <c r="D29" s="10">
        <v>0</v>
      </c>
      <c r="E29" s="10">
        <f>C29+D29</f>
        <v>400</v>
      </c>
      <c r="F29" s="10">
        <v>400</v>
      </c>
      <c r="G29" s="31">
        <f>E29-F29</f>
        <v>0</v>
      </c>
      <c r="H29" s="53"/>
      <c r="I29" s="54"/>
    </row>
    <row r="30" spans="1:9" ht="15" customHeight="1" x14ac:dyDescent="0.25">
      <c r="A30" s="55"/>
      <c r="B30" s="46" t="s">
        <v>18</v>
      </c>
      <c r="C30" s="47"/>
      <c r="D30" s="47"/>
      <c r="E30" s="47"/>
      <c r="F30" s="47"/>
      <c r="G30" s="47"/>
      <c r="H30" s="47"/>
      <c r="I30" s="48"/>
    </row>
    <row r="31" spans="1:9" ht="15" customHeight="1" x14ac:dyDescent="0.25">
      <c r="A31" s="55"/>
      <c r="B31" s="30" t="s">
        <v>27</v>
      </c>
      <c r="C31" s="3">
        <v>44206</v>
      </c>
      <c r="D31" s="3">
        <v>44226</v>
      </c>
      <c r="E31" s="3">
        <f>D31-C31</f>
        <v>20</v>
      </c>
      <c r="F31" s="3">
        <v>1</v>
      </c>
      <c r="G31" s="3">
        <f>E31*F31</f>
        <v>20</v>
      </c>
      <c r="H31" s="49" t="s">
        <v>48</v>
      </c>
      <c r="I31" s="41" t="s">
        <v>49</v>
      </c>
    </row>
    <row r="32" spans="1:9" ht="15" customHeight="1" thickBot="1" x14ac:dyDescent="0.3">
      <c r="A32" s="55"/>
      <c r="B32" s="25" t="s">
        <v>56</v>
      </c>
      <c r="C32" s="16">
        <v>19381</v>
      </c>
      <c r="D32" s="16">
        <v>19389</v>
      </c>
      <c r="E32" s="16">
        <f>D32-C32</f>
        <v>8</v>
      </c>
      <c r="F32" s="16">
        <v>1</v>
      </c>
      <c r="G32" s="16">
        <f>E32*F32</f>
        <v>8</v>
      </c>
      <c r="H32" s="50"/>
      <c r="I32" s="42"/>
    </row>
    <row r="33" spans="1:9" ht="15" customHeight="1" x14ac:dyDescent="0.25">
      <c r="A33" s="55"/>
      <c r="B33" s="34" t="s">
        <v>19</v>
      </c>
      <c r="C33" s="35"/>
      <c r="D33" s="35"/>
      <c r="E33" s="35"/>
      <c r="F33" s="35"/>
      <c r="G33" s="35"/>
      <c r="H33" s="35"/>
      <c r="I33" s="36"/>
    </row>
    <row r="34" spans="1:9" ht="15" customHeight="1" x14ac:dyDescent="0.25">
      <c r="A34" s="55"/>
      <c r="B34" s="30" t="s">
        <v>27</v>
      </c>
      <c r="C34" s="3">
        <v>6302</v>
      </c>
      <c r="D34" s="3">
        <v>6339</v>
      </c>
      <c r="E34" s="3">
        <f>D34-C34</f>
        <v>37</v>
      </c>
      <c r="F34" s="3">
        <v>1</v>
      </c>
      <c r="G34" s="3">
        <f>E34*F34</f>
        <v>37</v>
      </c>
      <c r="H34" s="49" t="s">
        <v>50</v>
      </c>
      <c r="I34" s="41" t="s">
        <v>51</v>
      </c>
    </row>
    <row r="35" spans="1:9" ht="15" customHeight="1" thickBot="1" x14ac:dyDescent="0.3">
      <c r="A35" s="55"/>
      <c r="B35" s="25" t="s">
        <v>56</v>
      </c>
      <c r="C35" s="14">
        <v>5638</v>
      </c>
      <c r="D35" s="14">
        <v>5676</v>
      </c>
      <c r="E35" s="14">
        <f>D35-C35</f>
        <v>38</v>
      </c>
      <c r="F35" s="14">
        <v>1</v>
      </c>
      <c r="G35" s="14">
        <f>E35*F35</f>
        <v>38</v>
      </c>
      <c r="H35" s="50"/>
      <c r="I35" s="42"/>
    </row>
    <row r="36" spans="1:9" ht="15" customHeight="1" x14ac:dyDescent="0.25">
      <c r="A36" s="55"/>
      <c r="B36" s="34" t="s">
        <v>20</v>
      </c>
      <c r="C36" s="35"/>
      <c r="D36" s="35"/>
      <c r="E36" s="35"/>
      <c r="F36" s="35"/>
      <c r="G36" s="35"/>
      <c r="H36" s="35"/>
      <c r="I36" s="36"/>
    </row>
    <row r="37" spans="1:9" ht="15" customHeight="1" x14ac:dyDescent="0.25">
      <c r="A37" s="55"/>
      <c r="B37" s="30" t="s">
        <v>27</v>
      </c>
      <c r="C37" s="3">
        <v>18936</v>
      </c>
      <c r="D37" s="3">
        <v>18946</v>
      </c>
      <c r="E37" s="3">
        <f>D37-C37</f>
        <v>10</v>
      </c>
      <c r="F37" s="3">
        <v>1</v>
      </c>
      <c r="G37" s="3">
        <f>E37*F37</f>
        <v>10</v>
      </c>
      <c r="H37" s="49" t="s">
        <v>52</v>
      </c>
      <c r="I37" s="41" t="s">
        <v>53</v>
      </c>
    </row>
    <row r="38" spans="1:9" ht="15" customHeight="1" thickBot="1" x14ac:dyDescent="0.3">
      <c r="A38" s="55"/>
      <c r="B38" s="13" t="s">
        <v>56</v>
      </c>
      <c r="C38" s="14">
        <v>10653</v>
      </c>
      <c r="D38" s="14">
        <v>10658</v>
      </c>
      <c r="E38" s="14">
        <f>D38-C38</f>
        <v>5</v>
      </c>
      <c r="F38" s="14">
        <v>1</v>
      </c>
      <c r="G38" s="14">
        <f>E38*F38</f>
        <v>5</v>
      </c>
      <c r="H38" s="50"/>
      <c r="I38" s="42"/>
    </row>
    <row r="39" spans="1:9" ht="15" customHeight="1" x14ac:dyDescent="0.25">
      <c r="A39" s="55"/>
      <c r="B39" s="46" t="s">
        <v>36</v>
      </c>
      <c r="C39" s="47"/>
      <c r="D39" s="47"/>
      <c r="E39" s="47"/>
      <c r="F39" s="47"/>
      <c r="G39" s="47"/>
      <c r="H39" s="47"/>
      <c r="I39" s="48"/>
    </row>
    <row r="40" spans="1:9" ht="15" customHeight="1" x14ac:dyDescent="0.25">
      <c r="A40" s="55"/>
      <c r="B40" s="25" t="s">
        <v>27</v>
      </c>
      <c r="C40" s="26">
        <v>3703.7</v>
      </c>
      <c r="D40" s="26">
        <v>3706.3</v>
      </c>
      <c r="E40" s="26">
        <f>D40-C40</f>
        <v>2.6000000000003638</v>
      </c>
      <c r="F40" s="26">
        <v>1</v>
      </c>
      <c r="G40" s="26">
        <f>E40*F40</f>
        <v>2.6000000000003638</v>
      </c>
      <c r="H40" s="49" t="s">
        <v>54</v>
      </c>
      <c r="I40" s="41" t="s">
        <v>55</v>
      </c>
    </row>
    <row r="41" spans="1:9" ht="15" customHeight="1" thickBot="1" x14ac:dyDescent="0.3">
      <c r="A41" s="55"/>
      <c r="B41" s="43" t="s">
        <v>42</v>
      </c>
      <c r="C41" s="44"/>
      <c r="D41" s="44"/>
      <c r="E41" s="44"/>
      <c r="F41" s="45"/>
      <c r="G41" s="14">
        <v>0</v>
      </c>
      <c r="H41" s="50"/>
      <c r="I41" s="42"/>
    </row>
    <row r="42" spans="1:9" ht="15" customHeight="1" x14ac:dyDescent="0.25">
      <c r="A42" s="55"/>
      <c r="B42" s="34" t="s">
        <v>37</v>
      </c>
      <c r="C42" s="35"/>
      <c r="D42" s="35"/>
      <c r="E42" s="35"/>
      <c r="F42" s="35"/>
      <c r="G42" s="35"/>
      <c r="H42" s="35"/>
      <c r="I42" s="36"/>
    </row>
    <row r="43" spans="1:9" ht="15" customHeight="1" x14ac:dyDescent="0.25">
      <c r="A43" s="55"/>
      <c r="B43" s="25" t="s">
        <v>27</v>
      </c>
      <c r="C43" s="26">
        <v>15556</v>
      </c>
      <c r="D43" s="26">
        <v>15556</v>
      </c>
      <c r="E43" s="26">
        <f>D43-C43</f>
        <v>0</v>
      </c>
      <c r="F43" s="26">
        <v>1</v>
      </c>
      <c r="G43" s="26">
        <f>E43*F43</f>
        <v>0</v>
      </c>
      <c r="H43" s="39" t="s">
        <v>59</v>
      </c>
      <c r="I43" s="41" t="s">
        <v>60</v>
      </c>
    </row>
    <row r="44" spans="1:9" ht="15" customHeight="1" thickBot="1" x14ac:dyDescent="0.3">
      <c r="A44" s="55"/>
      <c r="B44" s="43" t="s">
        <v>42</v>
      </c>
      <c r="C44" s="44"/>
      <c r="D44" s="44"/>
      <c r="E44" s="44"/>
      <c r="F44" s="45"/>
      <c r="G44" s="14">
        <v>0</v>
      </c>
      <c r="H44" s="40"/>
      <c r="I44" s="42"/>
    </row>
    <row r="45" spans="1:9" ht="15" customHeight="1" x14ac:dyDescent="0.25">
      <c r="A45" s="55"/>
      <c r="B45" s="34" t="s">
        <v>38</v>
      </c>
      <c r="C45" s="35"/>
      <c r="D45" s="35"/>
      <c r="E45" s="35"/>
      <c r="F45" s="35"/>
      <c r="G45" s="35"/>
      <c r="H45" s="35"/>
      <c r="I45" s="36"/>
    </row>
    <row r="46" spans="1:9" ht="15" customHeight="1" x14ac:dyDescent="0.25">
      <c r="A46" s="55"/>
      <c r="B46" s="25" t="s">
        <v>27</v>
      </c>
      <c r="C46" s="26">
        <v>6791</v>
      </c>
      <c r="D46" s="26">
        <v>6775.3</v>
      </c>
      <c r="E46" s="26">
        <f>D46-C46</f>
        <v>-15.699999999999818</v>
      </c>
      <c r="F46" s="26">
        <v>1</v>
      </c>
      <c r="G46" s="26">
        <f>E46*F46</f>
        <v>-15.699999999999818</v>
      </c>
      <c r="H46" s="39" t="s">
        <v>57</v>
      </c>
      <c r="I46" s="41" t="s">
        <v>58</v>
      </c>
    </row>
    <row r="47" spans="1:9" ht="15" customHeight="1" thickBot="1" x14ac:dyDescent="0.3">
      <c r="A47" s="55"/>
      <c r="B47" s="43" t="s">
        <v>42</v>
      </c>
      <c r="C47" s="44"/>
      <c r="D47" s="44"/>
      <c r="E47" s="44"/>
      <c r="F47" s="45"/>
      <c r="G47" s="14">
        <v>0</v>
      </c>
      <c r="H47" s="40"/>
      <c r="I47" s="42"/>
    </row>
    <row r="48" spans="1:9" ht="15" customHeight="1" x14ac:dyDescent="0.25">
      <c r="A48" s="55"/>
      <c r="B48" s="34" t="s">
        <v>41</v>
      </c>
      <c r="C48" s="35"/>
      <c r="D48" s="35"/>
      <c r="E48" s="35"/>
      <c r="F48" s="35"/>
      <c r="G48" s="35"/>
      <c r="H48" s="35"/>
      <c r="I48" s="36"/>
    </row>
    <row r="49" spans="1:9" ht="27.75" customHeight="1" thickBot="1" x14ac:dyDescent="0.3">
      <c r="A49" s="55"/>
      <c r="B49" s="13" t="s">
        <v>27</v>
      </c>
      <c r="C49" s="27">
        <v>806</v>
      </c>
      <c r="D49" s="27">
        <v>808</v>
      </c>
      <c r="E49" s="27">
        <f>D49-C49</f>
        <v>2</v>
      </c>
      <c r="F49" s="27">
        <v>1</v>
      </c>
      <c r="G49" s="27">
        <f>E49*F49</f>
        <v>2</v>
      </c>
      <c r="H49" s="33" t="s">
        <v>63</v>
      </c>
      <c r="I49" s="28" t="s">
        <v>62</v>
      </c>
    </row>
    <row r="50" spans="1:9" ht="23.25" customHeight="1" x14ac:dyDescent="0.25">
      <c r="A50" s="55"/>
      <c r="B50" s="37" t="s">
        <v>44</v>
      </c>
      <c r="C50" s="37"/>
      <c r="D50" s="37"/>
      <c r="E50" s="37"/>
      <c r="F50" s="37"/>
      <c r="G50" s="37"/>
      <c r="H50" s="37"/>
      <c r="I50" s="37"/>
    </row>
    <row r="51" spans="1:9" ht="34.5" customHeight="1" x14ac:dyDescent="0.25">
      <c r="A51" s="55"/>
      <c r="B51" s="38" t="s">
        <v>61</v>
      </c>
      <c r="C51" s="38"/>
      <c r="D51" s="38"/>
      <c r="E51" s="38"/>
      <c r="F51" s="38"/>
      <c r="G51" s="38"/>
      <c r="H51" s="38"/>
      <c r="I51" s="38"/>
    </row>
  </sheetData>
  <mergeCells count="47">
    <mergeCell ref="H11:H12"/>
    <mergeCell ref="I11:I12"/>
    <mergeCell ref="B2:I2"/>
    <mergeCell ref="B3:I3"/>
    <mergeCell ref="B5:I5"/>
    <mergeCell ref="H6:I9"/>
    <mergeCell ref="B10:I10"/>
    <mergeCell ref="H31:H32"/>
    <mergeCell ref="I31:I32"/>
    <mergeCell ref="B13:I13"/>
    <mergeCell ref="H14:I14"/>
    <mergeCell ref="B15:I15"/>
    <mergeCell ref="H16:I16"/>
    <mergeCell ref="H17:H19"/>
    <mergeCell ref="I17:I19"/>
    <mergeCell ref="B25:I25"/>
    <mergeCell ref="H26:I26"/>
    <mergeCell ref="H27:H29"/>
    <mergeCell ref="I27:I29"/>
    <mergeCell ref="B30:I30"/>
    <mergeCell ref="B39:I39"/>
    <mergeCell ref="H40:H41"/>
    <mergeCell ref="I40:I41"/>
    <mergeCell ref="B41:F41"/>
    <mergeCell ref="B42:I42"/>
    <mergeCell ref="B33:I33"/>
    <mergeCell ref="H34:H35"/>
    <mergeCell ref="I34:I35"/>
    <mergeCell ref="B36:I36"/>
    <mergeCell ref="H37:H38"/>
    <mergeCell ref="I37:I38"/>
    <mergeCell ref="A1:A51"/>
    <mergeCell ref="B1:I1"/>
    <mergeCell ref="B20:I20"/>
    <mergeCell ref="H21:I21"/>
    <mergeCell ref="H22:H24"/>
    <mergeCell ref="I22:I24"/>
    <mergeCell ref="B51:I51"/>
    <mergeCell ref="B45:I45"/>
    <mergeCell ref="H46:H47"/>
    <mergeCell ref="I46:I47"/>
    <mergeCell ref="B47:F47"/>
    <mergeCell ref="B48:I48"/>
    <mergeCell ref="B50:I50"/>
    <mergeCell ref="H43:H44"/>
    <mergeCell ref="I43:I44"/>
    <mergeCell ref="B44:F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CC0C-BA7A-4545-BED6-8045A22EBA5D}">
  <dimension ref="A1:M51"/>
  <sheetViews>
    <sheetView workbookViewId="0">
      <selection activeCell="G22" sqref="G22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 t="s">
        <v>30</v>
      </c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 t="s">
        <v>76</v>
      </c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 t="s">
        <v>26</v>
      </c>
      <c r="C4" s="12" t="s">
        <v>22</v>
      </c>
      <c r="D4" s="23" t="s">
        <v>23</v>
      </c>
      <c r="E4" s="23" t="s">
        <v>29</v>
      </c>
      <c r="F4" s="23" t="s">
        <v>21</v>
      </c>
      <c r="G4" s="23" t="s">
        <v>40</v>
      </c>
      <c r="H4" s="23" t="s">
        <v>64</v>
      </c>
      <c r="I4" s="24" t="s">
        <v>35</v>
      </c>
    </row>
    <row r="5" spans="1:13" ht="15" customHeight="1" x14ac:dyDescent="0.25">
      <c r="A5" s="55"/>
      <c r="B5" s="58" t="s">
        <v>15</v>
      </c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 t="s">
        <v>13</v>
      </c>
      <c r="C6" s="3">
        <v>7608.95</v>
      </c>
      <c r="D6" s="3">
        <v>7614.97</v>
      </c>
      <c r="E6" s="3">
        <f>D6-C6</f>
        <v>6.0200000000004366</v>
      </c>
      <c r="F6" s="3">
        <v>1200</v>
      </c>
      <c r="G6" s="19">
        <f>E6*F6</f>
        <v>7224.0000000005239</v>
      </c>
      <c r="H6" s="61" t="s">
        <v>39</v>
      </c>
      <c r="I6" s="62"/>
    </row>
    <row r="7" spans="1:13" ht="15" customHeight="1" x14ac:dyDescent="0.25">
      <c r="A7" s="55"/>
      <c r="B7" s="7" t="s">
        <v>14</v>
      </c>
      <c r="C7" s="32">
        <v>7640.17</v>
      </c>
      <c r="D7" s="32">
        <v>7646.21</v>
      </c>
      <c r="E7" s="3">
        <f>D7-C7</f>
        <v>6.0399999999999636</v>
      </c>
      <c r="F7" s="3">
        <v>1200</v>
      </c>
      <c r="G7" s="19">
        <f>E7*F7</f>
        <v>7247.9999999999563</v>
      </c>
      <c r="H7" s="63"/>
      <c r="I7" s="64"/>
    </row>
    <row r="8" spans="1:13" ht="15" customHeight="1" x14ac:dyDescent="0.25">
      <c r="A8" s="55"/>
      <c r="B8" s="15" t="s">
        <v>31</v>
      </c>
      <c r="C8" s="17" t="s">
        <v>32</v>
      </c>
      <c r="D8" s="8">
        <f>G6</f>
        <v>7224.0000000005239</v>
      </c>
      <c r="E8" s="18" t="s">
        <v>33</v>
      </c>
      <c r="F8" s="3">
        <f>G7</f>
        <v>7247.9999999999563</v>
      </c>
      <c r="G8" s="20">
        <f>D8/F8</f>
        <v>0.99668874172193256</v>
      </c>
      <c r="H8" s="63"/>
      <c r="I8" s="64"/>
      <c r="M8" s="29"/>
    </row>
    <row r="9" spans="1:13" ht="15" customHeight="1" thickBot="1" x14ac:dyDescent="0.3">
      <c r="A9" s="55"/>
      <c r="B9" s="9" t="s">
        <v>12</v>
      </c>
      <c r="C9" s="10">
        <v>12.35</v>
      </c>
      <c r="D9" s="14">
        <v>12.35</v>
      </c>
      <c r="E9" s="14">
        <v>1.0680000000000001</v>
      </c>
      <c r="F9" s="14">
        <v>1200</v>
      </c>
      <c r="G9" s="21">
        <f>E9*F9</f>
        <v>1281.6000000000001</v>
      </c>
      <c r="H9" s="65"/>
      <c r="I9" s="66"/>
    </row>
    <row r="10" spans="1:13" ht="15" customHeight="1" x14ac:dyDescent="0.25">
      <c r="A10" s="55"/>
      <c r="B10" s="58" t="s">
        <v>24</v>
      </c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 t="s">
        <v>13</v>
      </c>
      <c r="C11" s="3">
        <v>1053.25</v>
      </c>
      <c r="D11" s="3">
        <v>1053.96</v>
      </c>
      <c r="E11" s="3">
        <f>D11-C11</f>
        <v>0.71000000000003638</v>
      </c>
      <c r="F11" s="3">
        <v>1000</v>
      </c>
      <c r="G11" s="19">
        <f>E11*F11</f>
        <v>710.00000000003638</v>
      </c>
      <c r="H11" s="39" t="s">
        <v>70</v>
      </c>
      <c r="I11" s="67" t="s">
        <v>71</v>
      </c>
    </row>
    <row r="12" spans="1:13" ht="15" customHeight="1" thickBot="1" x14ac:dyDescent="0.3">
      <c r="A12" s="55"/>
      <c r="B12" s="9" t="s">
        <v>14</v>
      </c>
      <c r="C12" s="14">
        <v>1065.9100000000001</v>
      </c>
      <c r="D12" s="14">
        <v>1066.6300000000001</v>
      </c>
      <c r="E12" s="14">
        <f>D12-C12</f>
        <v>0.72000000000002728</v>
      </c>
      <c r="F12" s="14">
        <v>1000</v>
      </c>
      <c r="G12" s="21">
        <f>E12*F12</f>
        <v>720.00000000002728</v>
      </c>
      <c r="H12" s="40"/>
      <c r="I12" s="68"/>
    </row>
    <row r="13" spans="1:13" ht="15" customHeight="1" x14ac:dyDescent="0.25">
      <c r="A13" s="55"/>
      <c r="B13" s="69" t="s">
        <v>34</v>
      </c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 t="s">
        <v>25</v>
      </c>
      <c r="C14" s="14">
        <v>421166.4</v>
      </c>
      <c r="D14" s="14">
        <v>423955.90399999998</v>
      </c>
      <c r="E14" s="14">
        <f>D14-C14</f>
        <v>2789.5039999999572</v>
      </c>
      <c r="F14" s="14">
        <v>1</v>
      </c>
      <c r="G14" s="21">
        <f>E14*F14</f>
        <v>2789.5039999999572</v>
      </c>
      <c r="H14" s="72" t="s">
        <v>39</v>
      </c>
      <c r="I14" s="73"/>
    </row>
    <row r="15" spans="1:13" ht="15" customHeight="1" x14ac:dyDescent="0.25">
      <c r="A15" s="55"/>
      <c r="B15" s="58" t="s">
        <v>16</v>
      </c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 t="s">
        <v>13</v>
      </c>
      <c r="C16" s="3">
        <v>676008.7</v>
      </c>
      <c r="D16" s="3">
        <v>678588.5</v>
      </c>
      <c r="E16" s="3">
        <f>D16-C16</f>
        <v>2579.8000000000466</v>
      </c>
      <c r="F16" s="3">
        <v>1</v>
      </c>
      <c r="G16" s="19">
        <f>E16*F16</f>
        <v>2579.8000000000466</v>
      </c>
      <c r="H16" s="51" t="s">
        <v>43</v>
      </c>
      <c r="I16" s="52"/>
    </row>
    <row r="17" spans="1:9" ht="20.100000000000001" customHeight="1" x14ac:dyDescent="0.25">
      <c r="A17" s="55"/>
      <c r="B17" s="7" t="s">
        <v>14</v>
      </c>
      <c r="C17" s="3">
        <v>705475.5</v>
      </c>
      <c r="D17" s="3">
        <v>708084.7</v>
      </c>
      <c r="E17" s="3">
        <f>D17-C17</f>
        <v>2609.1999999999534</v>
      </c>
      <c r="F17" s="3">
        <v>1</v>
      </c>
      <c r="G17" s="19">
        <f>E17*F17</f>
        <v>2609.1999999999534</v>
      </c>
      <c r="H17" s="74" t="s">
        <v>66</v>
      </c>
      <c r="I17" s="52" t="s">
        <v>65</v>
      </c>
    </row>
    <row r="18" spans="1:9" ht="20.100000000000001" customHeight="1" x14ac:dyDescent="0.25">
      <c r="A18" s="55"/>
      <c r="B18" s="7" t="s">
        <v>27</v>
      </c>
      <c r="C18" s="3">
        <v>2167</v>
      </c>
      <c r="D18" s="3">
        <v>2174</v>
      </c>
      <c r="E18" s="3">
        <f>D18-C18</f>
        <v>7</v>
      </c>
      <c r="F18" s="3">
        <v>1</v>
      </c>
      <c r="G18" s="19">
        <f>E18*F18</f>
        <v>7</v>
      </c>
      <c r="H18" s="75"/>
      <c r="I18" s="52"/>
    </row>
    <row r="19" spans="1:9" ht="20.100000000000001" customHeight="1" thickBot="1" x14ac:dyDescent="0.3">
      <c r="A19" s="55"/>
      <c r="B19" s="9" t="s">
        <v>28</v>
      </c>
      <c r="C19" s="10">
        <v>1000</v>
      </c>
      <c r="D19" s="14">
        <v>600</v>
      </c>
      <c r="E19" s="14">
        <f>C19+D19</f>
        <v>1600</v>
      </c>
      <c r="F19" s="14">
        <v>700</v>
      </c>
      <c r="G19" s="21">
        <f>E19-F19</f>
        <v>900</v>
      </c>
      <c r="H19" s="40"/>
      <c r="I19" s="54"/>
    </row>
    <row r="20" spans="1:9" ht="20.100000000000001" customHeight="1" x14ac:dyDescent="0.25">
      <c r="A20" s="55"/>
      <c r="B20" s="69" t="s">
        <v>75</v>
      </c>
      <c r="C20" s="70"/>
      <c r="D20" s="70"/>
      <c r="E20" s="70"/>
      <c r="F20" s="70"/>
      <c r="G20" s="70"/>
      <c r="H20" s="70"/>
      <c r="I20" s="71"/>
    </row>
    <row r="21" spans="1:9" ht="20.100000000000001" customHeight="1" x14ac:dyDescent="0.25">
      <c r="A21" s="55"/>
      <c r="B21" s="7" t="s">
        <v>13</v>
      </c>
      <c r="C21" s="8">
        <v>160894</v>
      </c>
      <c r="D21" s="8">
        <v>163420</v>
      </c>
      <c r="E21" s="8">
        <f>D21-C21</f>
        <v>2526</v>
      </c>
      <c r="F21" s="8">
        <v>1</v>
      </c>
      <c r="G21" s="22">
        <f>E21*F21</f>
        <v>2526</v>
      </c>
      <c r="H21" s="51" t="s">
        <v>46</v>
      </c>
      <c r="I21" s="52"/>
    </row>
    <row r="22" spans="1:9" ht="20.100000000000001" customHeight="1" x14ac:dyDescent="0.25">
      <c r="A22" s="55"/>
      <c r="B22" s="7" t="s">
        <v>14</v>
      </c>
      <c r="C22" s="8">
        <v>180533</v>
      </c>
      <c r="D22" s="8">
        <v>183263</v>
      </c>
      <c r="E22" s="8">
        <f>D22-C22</f>
        <v>2730</v>
      </c>
      <c r="F22" s="8">
        <v>1</v>
      </c>
      <c r="G22" s="22">
        <f>E22*F22</f>
        <v>2730</v>
      </c>
      <c r="H22" s="51" t="s">
        <v>74</v>
      </c>
      <c r="I22" s="52" t="s">
        <v>74</v>
      </c>
    </row>
    <row r="23" spans="1:9" ht="20.100000000000001" customHeight="1" x14ac:dyDescent="0.25">
      <c r="A23" s="55"/>
      <c r="B23" s="7" t="s">
        <v>27</v>
      </c>
      <c r="C23" s="8">
        <v>826</v>
      </c>
      <c r="D23" s="8">
        <v>834.4</v>
      </c>
      <c r="E23" s="8">
        <f>D23-C23</f>
        <v>8.3999999999999773</v>
      </c>
      <c r="F23" s="8">
        <v>1</v>
      </c>
      <c r="G23" s="22">
        <f>E23*F23</f>
        <v>8.3999999999999773</v>
      </c>
      <c r="H23" s="51"/>
      <c r="I23" s="52"/>
    </row>
    <row r="24" spans="1:9" ht="20.100000000000001" customHeight="1" thickBot="1" x14ac:dyDescent="0.3">
      <c r="A24" s="55"/>
      <c r="B24" s="9" t="s">
        <v>28</v>
      </c>
      <c r="C24" s="10">
        <v>1000</v>
      </c>
      <c r="D24" s="10">
        <v>400</v>
      </c>
      <c r="E24" s="10">
        <f>C24+D24</f>
        <v>1400</v>
      </c>
      <c r="F24" s="10">
        <v>200</v>
      </c>
      <c r="G24" s="31">
        <f>E24-F24</f>
        <v>1200</v>
      </c>
      <c r="H24" s="53"/>
      <c r="I24" s="54"/>
    </row>
    <row r="25" spans="1:9" ht="15" customHeight="1" x14ac:dyDescent="0.25">
      <c r="A25" s="55"/>
      <c r="B25" s="69" t="s">
        <v>17</v>
      </c>
      <c r="C25" s="70"/>
      <c r="D25" s="70"/>
      <c r="E25" s="70"/>
      <c r="F25" s="70"/>
      <c r="G25" s="70"/>
      <c r="H25" s="70"/>
      <c r="I25" s="71"/>
    </row>
    <row r="26" spans="1:9" ht="15" customHeight="1" x14ac:dyDescent="0.25">
      <c r="A26" s="55"/>
      <c r="B26" s="7" t="s">
        <v>13</v>
      </c>
      <c r="C26" s="8">
        <v>54530.194000000003</v>
      </c>
      <c r="D26" s="8">
        <v>54530.194000000003</v>
      </c>
      <c r="E26" s="8">
        <f>D26-C26</f>
        <v>0</v>
      </c>
      <c r="F26" s="8">
        <v>1</v>
      </c>
      <c r="G26" s="22">
        <f>E26*F26</f>
        <v>0</v>
      </c>
      <c r="H26" s="51" t="s">
        <v>46</v>
      </c>
      <c r="I26" s="52"/>
    </row>
    <row r="27" spans="1:9" ht="15" customHeight="1" x14ac:dyDescent="0.25">
      <c r="A27" s="55"/>
      <c r="B27" s="7" t="s">
        <v>14</v>
      </c>
      <c r="C27" s="8">
        <v>60820.597999999998</v>
      </c>
      <c r="D27" s="8">
        <v>60820.597999999998</v>
      </c>
      <c r="E27" s="8">
        <f>D27-C27</f>
        <v>0</v>
      </c>
      <c r="F27" s="8">
        <v>1</v>
      </c>
      <c r="G27" s="22">
        <f>E27*F27</f>
        <v>0</v>
      </c>
      <c r="H27" s="51" t="s">
        <v>45</v>
      </c>
      <c r="I27" s="52" t="s">
        <v>47</v>
      </c>
    </row>
    <row r="28" spans="1:9" ht="15" customHeight="1" x14ac:dyDescent="0.25">
      <c r="A28" s="55"/>
      <c r="B28" s="7" t="s">
        <v>27</v>
      </c>
      <c r="C28" s="8">
        <v>4582.3999999999996</v>
      </c>
      <c r="D28" s="8">
        <v>4582.3999999999996</v>
      </c>
      <c r="E28" s="8">
        <f>D28-C28</f>
        <v>0</v>
      </c>
      <c r="F28" s="8">
        <v>1</v>
      </c>
      <c r="G28" s="22">
        <f>E28*F28</f>
        <v>0</v>
      </c>
      <c r="H28" s="51"/>
      <c r="I28" s="52"/>
    </row>
    <row r="29" spans="1:9" ht="15" customHeight="1" thickBot="1" x14ac:dyDescent="0.3">
      <c r="A29" s="55"/>
      <c r="B29" s="9" t="s">
        <v>28</v>
      </c>
      <c r="C29" s="10">
        <v>400</v>
      </c>
      <c r="D29" s="10">
        <v>0</v>
      </c>
      <c r="E29" s="10">
        <f>C29+D29</f>
        <v>400</v>
      </c>
      <c r="F29" s="10">
        <v>400</v>
      </c>
      <c r="G29" s="31">
        <f>E29-F29</f>
        <v>0</v>
      </c>
      <c r="H29" s="53"/>
      <c r="I29" s="54"/>
    </row>
    <row r="30" spans="1:9" ht="15" customHeight="1" x14ac:dyDescent="0.25">
      <c r="A30" s="55"/>
      <c r="B30" s="46" t="s">
        <v>18</v>
      </c>
      <c r="C30" s="47"/>
      <c r="D30" s="47"/>
      <c r="E30" s="47"/>
      <c r="F30" s="47"/>
      <c r="G30" s="47"/>
      <c r="H30" s="47"/>
      <c r="I30" s="48"/>
    </row>
    <row r="31" spans="1:9" ht="15" customHeight="1" x14ac:dyDescent="0.25">
      <c r="A31" s="55"/>
      <c r="B31" s="30" t="s">
        <v>27</v>
      </c>
      <c r="C31" s="3">
        <v>44226</v>
      </c>
      <c r="D31" s="3">
        <v>44247</v>
      </c>
      <c r="E31" s="3">
        <f>D31-C31</f>
        <v>21</v>
      </c>
      <c r="F31" s="3">
        <v>1</v>
      </c>
      <c r="G31" s="3">
        <f>E31*F31</f>
        <v>21</v>
      </c>
      <c r="H31" s="49" t="s">
        <v>48</v>
      </c>
      <c r="I31" s="41" t="s">
        <v>49</v>
      </c>
    </row>
    <row r="32" spans="1:9" ht="15" customHeight="1" thickBot="1" x14ac:dyDescent="0.3">
      <c r="A32" s="55"/>
      <c r="B32" s="25" t="s">
        <v>56</v>
      </c>
      <c r="C32" s="16">
        <v>19389</v>
      </c>
      <c r="D32" s="16">
        <v>19395</v>
      </c>
      <c r="E32" s="16">
        <f>D32-C32</f>
        <v>6</v>
      </c>
      <c r="F32" s="16">
        <v>1</v>
      </c>
      <c r="G32" s="16">
        <f>E32*F32</f>
        <v>6</v>
      </c>
      <c r="H32" s="50"/>
      <c r="I32" s="42"/>
    </row>
    <row r="33" spans="1:9" ht="15" customHeight="1" x14ac:dyDescent="0.25">
      <c r="A33" s="55"/>
      <c r="B33" s="34" t="s">
        <v>19</v>
      </c>
      <c r="C33" s="35"/>
      <c r="D33" s="35"/>
      <c r="E33" s="35"/>
      <c r="F33" s="35"/>
      <c r="G33" s="35"/>
      <c r="H33" s="35"/>
      <c r="I33" s="36"/>
    </row>
    <row r="34" spans="1:9" ht="15" customHeight="1" x14ac:dyDescent="0.25">
      <c r="A34" s="55"/>
      <c r="B34" s="30" t="s">
        <v>27</v>
      </c>
      <c r="C34" s="3">
        <v>6339</v>
      </c>
      <c r="D34" s="3">
        <v>6348</v>
      </c>
      <c r="E34" s="3">
        <f>D34-C34</f>
        <v>9</v>
      </c>
      <c r="F34" s="3">
        <v>1</v>
      </c>
      <c r="G34" s="3">
        <f>E34*F34</f>
        <v>9</v>
      </c>
      <c r="H34" s="49" t="s">
        <v>50</v>
      </c>
      <c r="I34" s="41" t="s">
        <v>51</v>
      </c>
    </row>
    <row r="35" spans="1:9" ht="15" customHeight="1" thickBot="1" x14ac:dyDescent="0.3">
      <c r="A35" s="55"/>
      <c r="B35" s="25" t="s">
        <v>56</v>
      </c>
      <c r="C35" s="14">
        <v>5676</v>
      </c>
      <c r="D35" s="14">
        <v>5684</v>
      </c>
      <c r="E35" s="14">
        <f>D35-C35</f>
        <v>8</v>
      </c>
      <c r="F35" s="14">
        <v>1</v>
      </c>
      <c r="G35" s="14">
        <f>E35*F35</f>
        <v>8</v>
      </c>
      <c r="H35" s="50"/>
      <c r="I35" s="42"/>
    </row>
    <row r="36" spans="1:9" ht="15" customHeight="1" x14ac:dyDescent="0.25">
      <c r="A36" s="55"/>
      <c r="B36" s="34" t="s">
        <v>20</v>
      </c>
      <c r="C36" s="35"/>
      <c r="D36" s="35"/>
      <c r="E36" s="35"/>
      <c r="F36" s="35"/>
      <c r="G36" s="35"/>
      <c r="H36" s="35"/>
      <c r="I36" s="36"/>
    </row>
    <row r="37" spans="1:9" ht="15" customHeight="1" x14ac:dyDescent="0.25">
      <c r="A37" s="55"/>
      <c r="B37" s="30" t="s">
        <v>27</v>
      </c>
      <c r="C37" s="3">
        <v>18946</v>
      </c>
      <c r="D37" s="3">
        <v>18962</v>
      </c>
      <c r="E37" s="3">
        <f>D37-C37</f>
        <v>16</v>
      </c>
      <c r="F37" s="3">
        <v>1</v>
      </c>
      <c r="G37" s="3">
        <f>E37*F37</f>
        <v>16</v>
      </c>
      <c r="H37" s="49" t="s">
        <v>52</v>
      </c>
      <c r="I37" s="41" t="s">
        <v>53</v>
      </c>
    </row>
    <row r="38" spans="1:9" ht="15" customHeight="1" thickBot="1" x14ac:dyDescent="0.3">
      <c r="A38" s="55"/>
      <c r="B38" s="13" t="s">
        <v>56</v>
      </c>
      <c r="C38" s="14">
        <v>10658</v>
      </c>
      <c r="D38" s="14">
        <v>10667</v>
      </c>
      <c r="E38" s="14">
        <f>D38-C38</f>
        <v>9</v>
      </c>
      <c r="F38" s="14">
        <v>1</v>
      </c>
      <c r="G38" s="14">
        <f>E38*F38</f>
        <v>9</v>
      </c>
      <c r="H38" s="50"/>
      <c r="I38" s="42"/>
    </row>
    <row r="39" spans="1:9" ht="15" customHeight="1" x14ac:dyDescent="0.25">
      <c r="A39" s="55"/>
      <c r="B39" s="46" t="s">
        <v>36</v>
      </c>
      <c r="C39" s="47"/>
      <c r="D39" s="47"/>
      <c r="E39" s="47"/>
      <c r="F39" s="47"/>
      <c r="G39" s="47"/>
      <c r="H39" s="47"/>
      <c r="I39" s="48"/>
    </row>
    <row r="40" spans="1:9" ht="15" customHeight="1" x14ac:dyDescent="0.25">
      <c r="A40" s="55"/>
      <c r="B40" s="25" t="s">
        <v>27</v>
      </c>
      <c r="C40" s="26">
        <v>3706.3</v>
      </c>
      <c r="D40" s="26">
        <v>3712.7</v>
      </c>
      <c r="E40" s="26">
        <f>D40-C40</f>
        <v>6.3999999999996362</v>
      </c>
      <c r="F40" s="26">
        <v>1</v>
      </c>
      <c r="G40" s="26">
        <f>E40*F40</f>
        <v>6.3999999999996362</v>
      </c>
      <c r="H40" s="49" t="s">
        <v>54</v>
      </c>
      <c r="I40" s="41" t="s">
        <v>55</v>
      </c>
    </row>
    <row r="41" spans="1:9" ht="15" customHeight="1" thickBot="1" x14ac:dyDescent="0.3">
      <c r="A41" s="55"/>
      <c r="B41" s="43" t="s">
        <v>42</v>
      </c>
      <c r="C41" s="44"/>
      <c r="D41" s="44"/>
      <c r="E41" s="44"/>
      <c r="F41" s="45"/>
      <c r="G41" s="14">
        <v>0</v>
      </c>
      <c r="H41" s="50"/>
      <c r="I41" s="42"/>
    </row>
    <row r="42" spans="1:9" ht="15" customHeight="1" x14ac:dyDescent="0.25">
      <c r="A42" s="55"/>
      <c r="B42" s="34" t="s">
        <v>37</v>
      </c>
      <c r="C42" s="35"/>
      <c r="D42" s="35"/>
      <c r="E42" s="35"/>
      <c r="F42" s="35"/>
      <c r="G42" s="35"/>
      <c r="H42" s="35"/>
      <c r="I42" s="36"/>
    </row>
    <row r="43" spans="1:9" ht="15" customHeight="1" x14ac:dyDescent="0.25">
      <c r="A43" s="55"/>
      <c r="B43" s="25" t="s">
        <v>27</v>
      </c>
      <c r="C43" s="26">
        <v>15556</v>
      </c>
      <c r="D43" s="26">
        <v>15556</v>
      </c>
      <c r="E43" s="26">
        <f>D43-C43</f>
        <v>0</v>
      </c>
      <c r="F43" s="26">
        <v>1</v>
      </c>
      <c r="G43" s="26">
        <f>E43*F43</f>
        <v>0</v>
      </c>
      <c r="H43" s="39" t="s">
        <v>59</v>
      </c>
      <c r="I43" s="41" t="s">
        <v>60</v>
      </c>
    </row>
    <row r="44" spans="1:9" ht="15" customHeight="1" thickBot="1" x14ac:dyDescent="0.3">
      <c r="A44" s="55"/>
      <c r="B44" s="43" t="s">
        <v>42</v>
      </c>
      <c r="C44" s="44"/>
      <c r="D44" s="44"/>
      <c r="E44" s="44"/>
      <c r="F44" s="45"/>
      <c r="G44" s="14">
        <v>0</v>
      </c>
      <c r="H44" s="40"/>
      <c r="I44" s="42"/>
    </row>
    <row r="45" spans="1:9" ht="15" customHeight="1" x14ac:dyDescent="0.25">
      <c r="A45" s="55"/>
      <c r="B45" s="34" t="s">
        <v>38</v>
      </c>
      <c r="C45" s="35"/>
      <c r="D45" s="35"/>
      <c r="E45" s="35"/>
      <c r="F45" s="35"/>
      <c r="G45" s="35"/>
      <c r="H45" s="35"/>
      <c r="I45" s="36"/>
    </row>
    <row r="46" spans="1:9" ht="15" customHeight="1" x14ac:dyDescent="0.25">
      <c r="A46" s="55"/>
      <c r="B46" s="25" t="s">
        <v>27</v>
      </c>
      <c r="C46" s="26">
        <v>6775.3</v>
      </c>
      <c r="D46" s="26">
        <v>6799.7</v>
      </c>
      <c r="E46" s="26">
        <f>D46-C46</f>
        <v>24.399999999999636</v>
      </c>
      <c r="F46" s="26">
        <v>1</v>
      </c>
      <c r="G46" s="26">
        <f>E46*F46</f>
        <v>24.399999999999636</v>
      </c>
      <c r="H46" s="39" t="s">
        <v>57</v>
      </c>
      <c r="I46" s="41" t="s">
        <v>58</v>
      </c>
    </row>
    <row r="47" spans="1:9" ht="15" customHeight="1" thickBot="1" x14ac:dyDescent="0.3">
      <c r="A47" s="55"/>
      <c r="B47" s="43" t="s">
        <v>42</v>
      </c>
      <c r="C47" s="44"/>
      <c r="D47" s="44"/>
      <c r="E47" s="44"/>
      <c r="F47" s="45"/>
      <c r="G47" s="14">
        <v>0</v>
      </c>
      <c r="H47" s="40"/>
      <c r="I47" s="42"/>
    </row>
    <row r="48" spans="1:9" ht="15" customHeight="1" x14ac:dyDescent="0.25">
      <c r="A48" s="55"/>
      <c r="B48" s="34" t="s">
        <v>41</v>
      </c>
      <c r="C48" s="35"/>
      <c r="D48" s="35"/>
      <c r="E48" s="35"/>
      <c r="F48" s="35"/>
      <c r="G48" s="35"/>
      <c r="H48" s="35"/>
      <c r="I48" s="36"/>
    </row>
    <row r="49" spans="1:9" ht="27.75" customHeight="1" thickBot="1" x14ac:dyDescent="0.3">
      <c r="A49" s="55"/>
      <c r="B49" s="13" t="s">
        <v>27</v>
      </c>
      <c r="C49" s="27">
        <v>808</v>
      </c>
      <c r="D49" s="27">
        <v>811</v>
      </c>
      <c r="E49" s="27">
        <f>D49-C49</f>
        <v>3</v>
      </c>
      <c r="F49" s="27">
        <v>1</v>
      </c>
      <c r="G49" s="27">
        <f>E49*F49</f>
        <v>3</v>
      </c>
      <c r="H49" s="33" t="s">
        <v>63</v>
      </c>
      <c r="I49" s="28" t="s">
        <v>62</v>
      </c>
    </row>
    <row r="50" spans="1:9" ht="23.25" customHeight="1" x14ac:dyDescent="0.25">
      <c r="A50" s="55"/>
      <c r="B50" s="37" t="s">
        <v>44</v>
      </c>
      <c r="C50" s="37"/>
      <c r="D50" s="37"/>
      <c r="E50" s="37"/>
      <c r="F50" s="37"/>
      <c r="G50" s="37"/>
      <c r="H50" s="37"/>
      <c r="I50" s="37"/>
    </row>
    <row r="51" spans="1:9" ht="34.5" customHeight="1" x14ac:dyDescent="0.25">
      <c r="A51" s="55"/>
      <c r="B51" s="38" t="s">
        <v>61</v>
      </c>
      <c r="C51" s="38"/>
      <c r="D51" s="38"/>
      <c r="E51" s="38"/>
      <c r="F51" s="38"/>
      <c r="G51" s="38"/>
      <c r="H51" s="38"/>
      <c r="I51" s="38"/>
    </row>
  </sheetData>
  <mergeCells count="47">
    <mergeCell ref="B48:I48"/>
    <mergeCell ref="B50:I50"/>
    <mergeCell ref="B51:I51"/>
    <mergeCell ref="A1:A51"/>
    <mergeCell ref="B1:I1"/>
    <mergeCell ref="H26:I26"/>
    <mergeCell ref="H27:H29"/>
    <mergeCell ref="I27:I29"/>
    <mergeCell ref="B30:I30"/>
    <mergeCell ref="H31:H32"/>
    <mergeCell ref="I31:I32"/>
    <mergeCell ref="B33:I33"/>
    <mergeCell ref="H34:H35"/>
    <mergeCell ref="I34:I35"/>
    <mergeCell ref="B36:I36"/>
    <mergeCell ref="H37:H38"/>
    <mergeCell ref="I37:I38"/>
    <mergeCell ref="B39:I39"/>
    <mergeCell ref="H40:H41"/>
    <mergeCell ref="H11:H12"/>
    <mergeCell ref="I11:I12"/>
    <mergeCell ref="B13:I13"/>
    <mergeCell ref="H14:I14"/>
    <mergeCell ref="B15:I15"/>
    <mergeCell ref="H16:I16"/>
    <mergeCell ref="H17:H19"/>
    <mergeCell ref="I17:I19"/>
    <mergeCell ref="B20:I20"/>
    <mergeCell ref="H21:I21"/>
    <mergeCell ref="H22:H24"/>
    <mergeCell ref="I22:I24"/>
    <mergeCell ref="B25:I25"/>
    <mergeCell ref="B2:I2"/>
    <mergeCell ref="B3:I3"/>
    <mergeCell ref="B5:I5"/>
    <mergeCell ref="H6:I9"/>
    <mergeCell ref="B10:I10"/>
    <mergeCell ref="H46:H47"/>
    <mergeCell ref="I46:I47"/>
    <mergeCell ref="B47:F47"/>
    <mergeCell ref="B45:I45"/>
    <mergeCell ref="I40:I41"/>
    <mergeCell ref="B41:F41"/>
    <mergeCell ref="B42:I42"/>
    <mergeCell ref="H43:H44"/>
    <mergeCell ref="I43:I44"/>
    <mergeCell ref="B44:F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915A-81E3-41A5-9AFE-436F4F1732E7}">
  <dimension ref="A1:M51"/>
  <sheetViews>
    <sheetView workbookViewId="0">
      <selection sqref="A1:XFD1048576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 t="s">
        <v>30</v>
      </c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 t="s">
        <v>77</v>
      </c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 t="s">
        <v>26</v>
      </c>
      <c r="C4" s="12" t="s">
        <v>22</v>
      </c>
      <c r="D4" s="23" t="s">
        <v>23</v>
      </c>
      <c r="E4" s="23" t="s">
        <v>29</v>
      </c>
      <c r="F4" s="23" t="s">
        <v>21</v>
      </c>
      <c r="G4" s="23" t="s">
        <v>40</v>
      </c>
      <c r="H4" s="23" t="s">
        <v>64</v>
      </c>
      <c r="I4" s="24" t="s">
        <v>35</v>
      </c>
    </row>
    <row r="5" spans="1:13" ht="15" customHeight="1" x14ac:dyDescent="0.25">
      <c r="A5" s="55"/>
      <c r="B5" s="58" t="s">
        <v>15</v>
      </c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 t="s">
        <v>13</v>
      </c>
      <c r="C6" s="3">
        <v>7614.97</v>
      </c>
      <c r="D6" s="3">
        <v>7624.9</v>
      </c>
      <c r="E6" s="3">
        <f>D6-C6</f>
        <v>9.9299999999993815</v>
      </c>
      <c r="F6" s="3">
        <v>1200</v>
      </c>
      <c r="G6" s="19">
        <f>E6*F6</f>
        <v>11915.999999999258</v>
      </c>
      <c r="H6" s="61" t="s">
        <v>39</v>
      </c>
      <c r="I6" s="62"/>
    </row>
    <row r="7" spans="1:13" ht="15" customHeight="1" x14ac:dyDescent="0.25">
      <c r="A7" s="55"/>
      <c r="B7" s="7" t="s">
        <v>14</v>
      </c>
      <c r="C7" s="32">
        <v>7646.21</v>
      </c>
      <c r="D7" s="32">
        <v>7656.17</v>
      </c>
      <c r="E7" s="3">
        <f>D7-C7</f>
        <v>9.9600000000000364</v>
      </c>
      <c r="F7" s="3">
        <v>1200</v>
      </c>
      <c r="G7" s="19">
        <f>E7*F7</f>
        <v>11952.000000000044</v>
      </c>
      <c r="H7" s="63"/>
      <c r="I7" s="64"/>
    </row>
    <row r="8" spans="1:13" ht="15" customHeight="1" x14ac:dyDescent="0.25">
      <c r="A8" s="55"/>
      <c r="B8" s="15" t="s">
        <v>31</v>
      </c>
      <c r="C8" s="17" t="s">
        <v>32</v>
      </c>
      <c r="D8" s="8">
        <f>G6</f>
        <v>11915.999999999258</v>
      </c>
      <c r="E8" s="18" t="s">
        <v>33</v>
      </c>
      <c r="F8" s="3">
        <f>G7</f>
        <v>11952.000000000044</v>
      </c>
      <c r="G8" s="20">
        <f>D8/F8</f>
        <v>0.99698795180716315</v>
      </c>
      <c r="H8" s="63"/>
      <c r="I8" s="64"/>
      <c r="M8" s="29"/>
    </row>
    <row r="9" spans="1:13" ht="15" customHeight="1" thickBot="1" x14ac:dyDescent="0.3">
      <c r="A9" s="55"/>
      <c r="B9" s="9" t="s">
        <v>12</v>
      </c>
      <c r="C9" s="10">
        <v>12.35</v>
      </c>
      <c r="D9" s="14">
        <v>12.35</v>
      </c>
      <c r="E9" s="14">
        <v>1.0680000000000001</v>
      </c>
      <c r="F9" s="14">
        <v>1200</v>
      </c>
      <c r="G9" s="21">
        <f>E9*F9</f>
        <v>1281.6000000000001</v>
      </c>
      <c r="H9" s="65"/>
      <c r="I9" s="66"/>
    </row>
    <row r="10" spans="1:13" ht="15" customHeight="1" x14ac:dyDescent="0.25">
      <c r="A10" s="55"/>
      <c r="B10" s="58" t="s">
        <v>24</v>
      </c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 t="s">
        <v>13</v>
      </c>
      <c r="C11" s="3">
        <v>1053.96</v>
      </c>
      <c r="D11" s="3">
        <v>1055.1199999999999</v>
      </c>
      <c r="E11" s="3">
        <f>D11-C11</f>
        <v>1.1599999999998545</v>
      </c>
      <c r="F11" s="3">
        <v>1000</v>
      </c>
      <c r="G11" s="19">
        <f>E11*F11</f>
        <v>1159.9999999998545</v>
      </c>
      <c r="H11" s="39" t="s">
        <v>70</v>
      </c>
      <c r="I11" s="67" t="s">
        <v>71</v>
      </c>
    </row>
    <row r="12" spans="1:13" ht="15" customHeight="1" thickBot="1" x14ac:dyDescent="0.3">
      <c r="A12" s="55"/>
      <c r="B12" s="9" t="s">
        <v>14</v>
      </c>
      <c r="C12" s="14">
        <v>1066.6300000000001</v>
      </c>
      <c r="D12" s="14">
        <v>1067.79</v>
      </c>
      <c r="E12" s="14">
        <f>D12-C12</f>
        <v>1.1599999999998545</v>
      </c>
      <c r="F12" s="14">
        <v>1000</v>
      </c>
      <c r="G12" s="21">
        <f>E12*F12</f>
        <v>1159.9999999998545</v>
      </c>
      <c r="H12" s="40"/>
      <c r="I12" s="68"/>
    </row>
    <row r="13" spans="1:13" ht="15" customHeight="1" x14ac:dyDescent="0.25">
      <c r="A13" s="55"/>
      <c r="B13" s="69" t="s">
        <v>34</v>
      </c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 t="s">
        <v>25</v>
      </c>
      <c r="C14" s="14">
        <v>423955.90399999998</v>
      </c>
      <c r="D14" s="14">
        <v>427826.75199999998</v>
      </c>
      <c r="E14" s="14">
        <f>D14-C14</f>
        <v>3870.8479999999981</v>
      </c>
      <c r="F14" s="14">
        <v>1</v>
      </c>
      <c r="G14" s="21">
        <f>E14*F14</f>
        <v>3870.8479999999981</v>
      </c>
      <c r="H14" s="72" t="s">
        <v>39</v>
      </c>
      <c r="I14" s="73"/>
    </row>
    <row r="15" spans="1:13" ht="15" customHeight="1" x14ac:dyDescent="0.25">
      <c r="A15" s="55"/>
      <c r="B15" s="58" t="s">
        <v>16</v>
      </c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 t="s">
        <v>13</v>
      </c>
      <c r="C16" s="3">
        <v>678588.5</v>
      </c>
      <c r="D16" s="3">
        <v>681373.2</v>
      </c>
      <c r="E16" s="3">
        <f>D16-C16</f>
        <v>2784.6999999999534</v>
      </c>
      <c r="F16" s="3">
        <v>1</v>
      </c>
      <c r="G16" s="19">
        <f>E16*F16</f>
        <v>2784.6999999999534</v>
      </c>
      <c r="H16" s="51" t="s">
        <v>43</v>
      </c>
      <c r="I16" s="52"/>
    </row>
    <row r="17" spans="1:9" ht="20.100000000000001" customHeight="1" x14ac:dyDescent="0.25">
      <c r="A17" s="55"/>
      <c r="B17" s="7" t="s">
        <v>14</v>
      </c>
      <c r="C17" s="3">
        <v>708084.7</v>
      </c>
      <c r="D17" s="3">
        <v>710881.7</v>
      </c>
      <c r="E17" s="3">
        <f>D17-C17</f>
        <v>2797</v>
      </c>
      <c r="F17" s="3">
        <v>1</v>
      </c>
      <c r="G17" s="19">
        <f>E17*F17</f>
        <v>2797</v>
      </c>
      <c r="H17" s="74" t="s">
        <v>66</v>
      </c>
      <c r="I17" s="52" t="s">
        <v>65</v>
      </c>
    </row>
    <row r="18" spans="1:9" ht="20.100000000000001" customHeight="1" x14ac:dyDescent="0.25">
      <c r="A18" s="55"/>
      <c r="B18" s="7" t="s">
        <v>27</v>
      </c>
      <c r="C18" s="3">
        <v>2174</v>
      </c>
      <c r="D18" s="3">
        <v>2181.17</v>
      </c>
      <c r="E18" s="3">
        <f>D18-C18</f>
        <v>7.1700000000000728</v>
      </c>
      <c r="F18" s="3">
        <v>1</v>
      </c>
      <c r="G18" s="19">
        <f>E18*F18</f>
        <v>7.1700000000000728</v>
      </c>
      <c r="H18" s="75"/>
      <c r="I18" s="52"/>
    </row>
    <row r="19" spans="1:9" ht="20.100000000000001" customHeight="1" thickBot="1" x14ac:dyDescent="0.3">
      <c r="A19" s="55"/>
      <c r="B19" s="9" t="s">
        <v>28</v>
      </c>
      <c r="C19" s="10">
        <v>900</v>
      </c>
      <c r="D19" s="14">
        <v>800</v>
      </c>
      <c r="E19" s="14">
        <f>C19+D19</f>
        <v>1700</v>
      </c>
      <c r="F19" s="14">
        <v>700</v>
      </c>
      <c r="G19" s="21">
        <f>E19-F19</f>
        <v>1000</v>
      </c>
      <c r="H19" s="40"/>
      <c r="I19" s="54"/>
    </row>
    <row r="20" spans="1:9" ht="20.100000000000001" customHeight="1" x14ac:dyDescent="0.25">
      <c r="A20" s="55"/>
      <c r="B20" s="69" t="s">
        <v>75</v>
      </c>
      <c r="C20" s="70"/>
      <c r="D20" s="70"/>
      <c r="E20" s="70"/>
      <c r="F20" s="70"/>
      <c r="G20" s="70"/>
      <c r="H20" s="70"/>
      <c r="I20" s="71"/>
    </row>
    <row r="21" spans="1:9" ht="20.100000000000001" customHeight="1" x14ac:dyDescent="0.25">
      <c r="A21" s="55"/>
      <c r="B21" s="7" t="s">
        <v>13</v>
      </c>
      <c r="C21" s="8">
        <v>163420</v>
      </c>
      <c r="D21" s="8">
        <v>166701</v>
      </c>
      <c r="E21" s="8">
        <f>D21-C21</f>
        <v>3281</v>
      </c>
      <c r="F21" s="8">
        <v>1</v>
      </c>
      <c r="G21" s="22">
        <f>E21*F21</f>
        <v>3281</v>
      </c>
      <c r="H21" s="51" t="s">
        <v>46</v>
      </c>
      <c r="I21" s="52"/>
    </row>
    <row r="22" spans="1:9" ht="20.100000000000001" customHeight="1" x14ac:dyDescent="0.25">
      <c r="A22" s="55"/>
      <c r="B22" s="7" t="s">
        <v>14</v>
      </c>
      <c r="C22" s="8">
        <v>183263</v>
      </c>
      <c r="D22" s="8">
        <v>186752</v>
      </c>
      <c r="E22" s="8">
        <f>D22-C22</f>
        <v>3489</v>
      </c>
      <c r="F22" s="8">
        <v>1</v>
      </c>
      <c r="G22" s="22">
        <f>E22*F22</f>
        <v>3489</v>
      </c>
      <c r="H22" s="51" t="s">
        <v>74</v>
      </c>
      <c r="I22" s="52" t="s">
        <v>74</v>
      </c>
    </row>
    <row r="23" spans="1:9" ht="20.100000000000001" customHeight="1" x14ac:dyDescent="0.25">
      <c r="A23" s="55"/>
      <c r="B23" s="7" t="s">
        <v>27</v>
      </c>
      <c r="C23" s="8">
        <v>834.4</v>
      </c>
      <c r="D23" s="8">
        <v>845.9</v>
      </c>
      <c r="E23" s="8">
        <f>D23-C23</f>
        <v>11.5</v>
      </c>
      <c r="F23" s="8">
        <v>1</v>
      </c>
      <c r="G23" s="22">
        <f>E23*F23</f>
        <v>11.5</v>
      </c>
      <c r="H23" s="51"/>
      <c r="I23" s="52"/>
    </row>
    <row r="24" spans="1:9" ht="20.100000000000001" customHeight="1" thickBot="1" x14ac:dyDescent="0.3">
      <c r="A24" s="55"/>
      <c r="B24" s="9" t="s">
        <v>28</v>
      </c>
      <c r="C24" s="10">
        <v>1000</v>
      </c>
      <c r="D24" s="10">
        <v>800</v>
      </c>
      <c r="E24" s="10">
        <f>C24+D24</f>
        <v>1800</v>
      </c>
      <c r="F24" s="10">
        <v>300</v>
      </c>
      <c r="G24" s="31">
        <f>E24-F24</f>
        <v>1500</v>
      </c>
      <c r="H24" s="53"/>
      <c r="I24" s="54"/>
    </row>
    <row r="25" spans="1:9" ht="15" customHeight="1" x14ac:dyDescent="0.25">
      <c r="A25" s="55"/>
      <c r="B25" s="69" t="s">
        <v>17</v>
      </c>
      <c r="C25" s="70"/>
      <c r="D25" s="70"/>
      <c r="E25" s="70"/>
      <c r="F25" s="70"/>
      <c r="G25" s="70"/>
      <c r="H25" s="70"/>
      <c r="I25" s="71"/>
    </row>
    <row r="26" spans="1:9" ht="15" customHeight="1" x14ac:dyDescent="0.25">
      <c r="A26" s="55"/>
      <c r="B26" s="7" t="s">
        <v>13</v>
      </c>
      <c r="C26" s="8">
        <v>54530.194000000003</v>
      </c>
      <c r="D26" s="8">
        <v>54530.194000000003</v>
      </c>
      <c r="E26" s="8">
        <f>D26-C26</f>
        <v>0</v>
      </c>
      <c r="F26" s="8">
        <v>1</v>
      </c>
      <c r="G26" s="22">
        <f>E26*F26</f>
        <v>0</v>
      </c>
      <c r="H26" s="51" t="s">
        <v>46</v>
      </c>
      <c r="I26" s="52"/>
    </row>
    <row r="27" spans="1:9" ht="15" customHeight="1" x14ac:dyDescent="0.25">
      <c r="A27" s="55"/>
      <c r="B27" s="7" t="s">
        <v>14</v>
      </c>
      <c r="C27" s="8">
        <v>60820.597999999998</v>
      </c>
      <c r="D27" s="8">
        <v>60820.597999999998</v>
      </c>
      <c r="E27" s="8">
        <f>D27-C27</f>
        <v>0</v>
      </c>
      <c r="F27" s="8">
        <v>1</v>
      </c>
      <c r="G27" s="22">
        <f>E27*F27</f>
        <v>0</v>
      </c>
      <c r="H27" s="51" t="s">
        <v>45</v>
      </c>
      <c r="I27" s="52" t="s">
        <v>47</v>
      </c>
    </row>
    <row r="28" spans="1:9" ht="15" customHeight="1" x14ac:dyDescent="0.25">
      <c r="A28" s="55"/>
      <c r="B28" s="7" t="s">
        <v>27</v>
      </c>
      <c r="C28" s="8">
        <v>4582.3999999999996</v>
      </c>
      <c r="D28" s="8">
        <v>4582.3999999999996</v>
      </c>
      <c r="E28" s="8">
        <f>D28-C28</f>
        <v>0</v>
      </c>
      <c r="F28" s="8">
        <v>1</v>
      </c>
      <c r="G28" s="22">
        <f>E28*F28</f>
        <v>0</v>
      </c>
      <c r="H28" s="51"/>
      <c r="I28" s="52"/>
    </row>
    <row r="29" spans="1:9" ht="15" customHeight="1" thickBot="1" x14ac:dyDescent="0.3">
      <c r="A29" s="55"/>
      <c r="B29" s="9" t="s">
        <v>28</v>
      </c>
      <c r="C29" s="10">
        <v>400</v>
      </c>
      <c r="D29" s="10">
        <v>0</v>
      </c>
      <c r="E29" s="10">
        <f>C29+D29</f>
        <v>400</v>
      </c>
      <c r="F29" s="10">
        <v>400</v>
      </c>
      <c r="G29" s="31">
        <f>E29-F29</f>
        <v>0</v>
      </c>
      <c r="H29" s="53"/>
      <c r="I29" s="54"/>
    </row>
    <row r="30" spans="1:9" ht="15" customHeight="1" x14ac:dyDescent="0.25">
      <c r="A30" s="55"/>
      <c r="B30" s="46" t="s">
        <v>18</v>
      </c>
      <c r="C30" s="47"/>
      <c r="D30" s="47"/>
      <c r="E30" s="47"/>
      <c r="F30" s="47"/>
      <c r="G30" s="47"/>
      <c r="H30" s="47"/>
      <c r="I30" s="48"/>
    </row>
    <row r="31" spans="1:9" ht="15" customHeight="1" x14ac:dyDescent="0.25">
      <c r="A31" s="55"/>
      <c r="B31" s="30" t="s">
        <v>27</v>
      </c>
      <c r="C31" s="3">
        <v>44247</v>
      </c>
      <c r="D31" s="3">
        <v>44269</v>
      </c>
      <c r="E31" s="3">
        <f>D31-C31</f>
        <v>22</v>
      </c>
      <c r="F31" s="3">
        <v>1</v>
      </c>
      <c r="G31" s="3">
        <f>E31*F31</f>
        <v>22</v>
      </c>
      <c r="H31" s="49" t="s">
        <v>48</v>
      </c>
      <c r="I31" s="41" t="s">
        <v>49</v>
      </c>
    </row>
    <row r="32" spans="1:9" ht="15" customHeight="1" thickBot="1" x14ac:dyDescent="0.3">
      <c r="A32" s="55"/>
      <c r="B32" s="25" t="s">
        <v>56</v>
      </c>
      <c r="C32" s="16">
        <v>19395</v>
      </c>
      <c r="D32" s="16">
        <v>19403</v>
      </c>
      <c r="E32" s="16">
        <f>D32-C32</f>
        <v>8</v>
      </c>
      <c r="F32" s="16">
        <v>1</v>
      </c>
      <c r="G32" s="16">
        <f>E32*F32</f>
        <v>8</v>
      </c>
      <c r="H32" s="50"/>
      <c r="I32" s="42"/>
    </row>
    <row r="33" spans="1:9" ht="15" customHeight="1" x14ac:dyDescent="0.25">
      <c r="A33" s="55"/>
      <c r="B33" s="34" t="s">
        <v>19</v>
      </c>
      <c r="C33" s="35"/>
      <c r="D33" s="35"/>
      <c r="E33" s="35"/>
      <c r="F33" s="35"/>
      <c r="G33" s="35"/>
      <c r="H33" s="35"/>
      <c r="I33" s="36"/>
    </row>
    <row r="34" spans="1:9" ht="15" customHeight="1" x14ac:dyDescent="0.25">
      <c r="A34" s="55"/>
      <c r="B34" s="30" t="s">
        <v>27</v>
      </c>
      <c r="C34" s="3">
        <v>6348</v>
      </c>
      <c r="D34" s="3">
        <v>6372</v>
      </c>
      <c r="E34" s="3">
        <f>D34-C34</f>
        <v>24</v>
      </c>
      <c r="F34" s="3">
        <v>1</v>
      </c>
      <c r="G34" s="3">
        <f>E34*F34</f>
        <v>24</v>
      </c>
      <c r="H34" s="49" t="s">
        <v>50</v>
      </c>
      <c r="I34" s="41" t="s">
        <v>51</v>
      </c>
    </row>
    <row r="35" spans="1:9" ht="15" customHeight="1" thickBot="1" x14ac:dyDescent="0.3">
      <c r="A35" s="55"/>
      <c r="B35" s="25" t="s">
        <v>56</v>
      </c>
      <c r="C35" s="14">
        <v>5684</v>
      </c>
      <c r="D35" s="14">
        <v>5709</v>
      </c>
      <c r="E35" s="14">
        <f>D35-C35</f>
        <v>25</v>
      </c>
      <c r="F35" s="14">
        <v>1</v>
      </c>
      <c r="G35" s="14">
        <f>E35*F35</f>
        <v>25</v>
      </c>
      <c r="H35" s="50"/>
      <c r="I35" s="42"/>
    </row>
    <row r="36" spans="1:9" ht="15" customHeight="1" x14ac:dyDescent="0.25">
      <c r="A36" s="55"/>
      <c r="B36" s="34" t="s">
        <v>20</v>
      </c>
      <c r="C36" s="35"/>
      <c r="D36" s="35"/>
      <c r="E36" s="35"/>
      <c r="F36" s="35"/>
      <c r="G36" s="35"/>
      <c r="H36" s="35"/>
      <c r="I36" s="36"/>
    </row>
    <row r="37" spans="1:9" ht="15" customHeight="1" x14ac:dyDescent="0.25">
      <c r="A37" s="55"/>
      <c r="B37" s="30" t="s">
        <v>27</v>
      </c>
      <c r="C37" s="3">
        <v>18962</v>
      </c>
      <c r="D37" s="3">
        <v>18976</v>
      </c>
      <c r="E37" s="3">
        <f>D37-C37</f>
        <v>14</v>
      </c>
      <c r="F37" s="3">
        <v>1</v>
      </c>
      <c r="G37" s="3">
        <f>E37*F37</f>
        <v>14</v>
      </c>
      <c r="H37" s="49" t="s">
        <v>52</v>
      </c>
      <c r="I37" s="41" t="s">
        <v>53</v>
      </c>
    </row>
    <row r="38" spans="1:9" ht="15" customHeight="1" thickBot="1" x14ac:dyDescent="0.3">
      <c r="A38" s="55"/>
      <c r="B38" s="13" t="s">
        <v>56</v>
      </c>
      <c r="C38" s="14">
        <v>10667</v>
      </c>
      <c r="D38" s="14">
        <v>10672</v>
      </c>
      <c r="E38" s="14">
        <f>D38-C38</f>
        <v>5</v>
      </c>
      <c r="F38" s="14">
        <v>1</v>
      </c>
      <c r="G38" s="14">
        <f>E38*F38</f>
        <v>5</v>
      </c>
      <c r="H38" s="50"/>
      <c r="I38" s="42"/>
    </row>
    <row r="39" spans="1:9" ht="15" customHeight="1" x14ac:dyDescent="0.25">
      <c r="A39" s="55"/>
      <c r="B39" s="46" t="s">
        <v>36</v>
      </c>
      <c r="C39" s="47"/>
      <c r="D39" s="47"/>
      <c r="E39" s="47"/>
      <c r="F39" s="47"/>
      <c r="G39" s="47"/>
      <c r="H39" s="47"/>
      <c r="I39" s="48"/>
    </row>
    <row r="40" spans="1:9" ht="15" customHeight="1" x14ac:dyDescent="0.25">
      <c r="A40" s="55"/>
      <c r="B40" s="25" t="s">
        <v>27</v>
      </c>
      <c r="C40" s="26">
        <v>3712.7</v>
      </c>
      <c r="D40" s="26">
        <v>3724.3</v>
      </c>
      <c r="E40" s="26">
        <f>D40-C40</f>
        <v>11.600000000000364</v>
      </c>
      <c r="F40" s="26">
        <v>1</v>
      </c>
      <c r="G40" s="26">
        <f>E40*F40</f>
        <v>11.600000000000364</v>
      </c>
      <c r="H40" s="49" t="s">
        <v>54</v>
      </c>
      <c r="I40" s="41" t="s">
        <v>55</v>
      </c>
    </row>
    <row r="41" spans="1:9" ht="15" customHeight="1" thickBot="1" x14ac:dyDescent="0.3">
      <c r="A41" s="55"/>
      <c r="B41" s="43" t="s">
        <v>42</v>
      </c>
      <c r="C41" s="44"/>
      <c r="D41" s="44"/>
      <c r="E41" s="44"/>
      <c r="F41" s="45"/>
      <c r="G41" s="14">
        <v>50</v>
      </c>
      <c r="H41" s="50"/>
      <c r="I41" s="42"/>
    </row>
    <row r="42" spans="1:9" ht="15" customHeight="1" x14ac:dyDescent="0.25">
      <c r="A42" s="55"/>
      <c r="B42" s="34" t="s">
        <v>37</v>
      </c>
      <c r="C42" s="35"/>
      <c r="D42" s="35"/>
      <c r="E42" s="35"/>
      <c r="F42" s="35"/>
      <c r="G42" s="35"/>
      <c r="H42" s="35"/>
      <c r="I42" s="36"/>
    </row>
    <row r="43" spans="1:9" ht="15" customHeight="1" x14ac:dyDescent="0.25">
      <c r="A43" s="55"/>
      <c r="B43" s="25" t="s">
        <v>27</v>
      </c>
      <c r="C43" s="26">
        <v>15556</v>
      </c>
      <c r="D43" s="26">
        <v>15556</v>
      </c>
      <c r="E43" s="26">
        <f>D43-C43</f>
        <v>0</v>
      </c>
      <c r="F43" s="26">
        <v>1</v>
      </c>
      <c r="G43" s="26">
        <f>E43*F43</f>
        <v>0</v>
      </c>
      <c r="H43" s="39" t="s">
        <v>59</v>
      </c>
      <c r="I43" s="41" t="s">
        <v>60</v>
      </c>
    </row>
    <row r="44" spans="1:9" ht="15" customHeight="1" thickBot="1" x14ac:dyDescent="0.3">
      <c r="A44" s="55"/>
      <c r="B44" s="43" t="s">
        <v>42</v>
      </c>
      <c r="C44" s="44"/>
      <c r="D44" s="44"/>
      <c r="E44" s="44"/>
      <c r="F44" s="45"/>
      <c r="G44" s="14">
        <v>0</v>
      </c>
      <c r="H44" s="40"/>
      <c r="I44" s="42"/>
    </row>
    <row r="45" spans="1:9" ht="15" customHeight="1" x14ac:dyDescent="0.25">
      <c r="A45" s="55"/>
      <c r="B45" s="34" t="s">
        <v>38</v>
      </c>
      <c r="C45" s="35"/>
      <c r="D45" s="35"/>
      <c r="E45" s="35"/>
      <c r="F45" s="35"/>
      <c r="G45" s="35"/>
      <c r="H45" s="35"/>
      <c r="I45" s="36"/>
    </row>
    <row r="46" spans="1:9" ht="15" customHeight="1" x14ac:dyDescent="0.25">
      <c r="A46" s="55"/>
      <c r="B46" s="25" t="s">
        <v>27</v>
      </c>
      <c r="C46" s="26">
        <v>6799.7</v>
      </c>
      <c r="D46" s="26">
        <v>6805</v>
      </c>
      <c r="E46" s="26">
        <f>D46-C46</f>
        <v>5.3000000000001819</v>
      </c>
      <c r="F46" s="26">
        <v>1</v>
      </c>
      <c r="G46" s="26">
        <f>E46*F46</f>
        <v>5.3000000000001819</v>
      </c>
      <c r="H46" s="39" t="s">
        <v>57</v>
      </c>
      <c r="I46" s="41" t="s">
        <v>58</v>
      </c>
    </row>
    <row r="47" spans="1:9" ht="15" customHeight="1" thickBot="1" x14ac:dyDescent="0.3">
      <c r="A47" s="55"/>
      <c r="B47" s="43" t="s">
        <v>42</v>
      </c>
      <c r="C47" s="44"/>
      <c r="D47" s="44"/>
      <c r="E47" s="44"/>
      <c r="F47" s="45"/>
      <c r="G47" s="14">
        <v>0</v>
      </c>
      <c r="H47" s="40"/>
      <c r="I47" s="42"/>
    </row>
    <row r="48" spans="1:9" ht="15" customHeight="1" x14ac:dyDescent="0.25">
      <c r="A48" s="55"/>
      <c r="B48" s="34" t="s">
        <v>41</v>
      </c>
      <c r="C48" s="35"/>
      <c r="D48" s="35"/>
      <c r="E48" s="35"/>
      <c r="F48" s="35"/>
      <c r="G48" s="35"/>
      <c r="H48" s="35"/>
      <c r="I48" s="36"/>
    </row>
    <row r="49" spans="1:9" ht="27.75" customHeight="1" thickBot="1" x14ac:dyDescent="0.3">
      <c r="A49" s="55"/>
      <c r="B49" s="13" t="s">
        <v>27</v>
      </c>
      <c r="C49" s="27">
        <v>811</v>
      </c>
      <c r="D49" s="27">
        <v>814</v>
      </c>
      <c r="E49" s="27">
        <f>D49-C49</f>
        <v>3</v>
      </c>
      <c r="F49" s="27">
        <v>1</v>
      </c>
      <c r="G49" s="27">
        <f>E49*F49</f>
        <v>3</v>
      </c>
      <c r="H49" s="33" t="s">
        <v>63</v>
      </c>
      <c r="I49" s="28" t="s">
        <v>62</v>
      </c>
    </row>
    <row r="50" spans="1:9" ht="23.25" customHeight="1" x14ac:dyDescent="0.25">
      <c r="A50" s="55"/>
      <c r="B50" s="37" t="s">
        <v>44</v>
      </c>
      <c r="C50" s="37"/>
      <c r="D50" s="37"/>
      <c r="E50" s="37"/>
      <c r="F50" s="37"/>
      <c r="G50" s="37"/>
      <c r="H50" s="37"/>
      <c r="I50" s="37"/>
    </row>
    <row r="51" spans="1:9" ht="34.5" customHeight="1" x14ac:dyDescent="0.25">
      <c r="A51" s="55"/>
      <c r="B51" s="38" t="s">
        <v>61</v>
      </c>
      <c r="C51" s="38"/>
      <c r="D51" s="38"/>
      <c r="E51" s="38"/>
      <c r="F51" s="38"/>
      <c r="G51" s="38"/>
      <c r="H51" s="38"/>
      <c r="I51" s="38"/>
    </row>
  </sheetData>
  <mergeCells count="47">
    <mergeCell ref="H46:H47"/>
    <mergeCell ref="I46:I47"/>
    <mergeCell ref="B47:F47"/>
    <mergeCell ref="B45:I45"/>
    <mergeCell ref="I40:I41"/>
    <mergeCell ref="B41:F41"/>
    <mergeCell ref="B42:I42"/>
    <mergeCell ref="H43:H44"/>
    <mergeCell ref="I43:I44"/>
    <mergeCell ref="B44:F44"/>
    <mergeCell ref="B2:I2"/>
    <mergeCell ref="B3:I3"/>
    <mergeCell ref="B5:I5"/>
    <mergeCell ref="H6:I9"/>
    <mergeCell ref="B10:I10"/>
    <mergeCell ref="I37:I38"/>
    <mergeCell ref="B39:I39"/>
    <mergeCell ref="H40:H41"/>
    <mergeCell ref="H11:H12"/>
    <mergeCell ref="I11:I12"/>
    <mergeCell ref="B13:I13"/>
    <mergeCell ref="H14:I14"/>
    <mergeCell ref="B15:I15"/>
    <mergeCell ref="H16:I16"/>
    <mergeCell ref="H17:H19"/>
    <mergeCell ref="I17:I19"/>
    <mergeCell ref="B20:I20"/>
    <mergeCell ref="H21:I21"/>
    <mergeCell ref="H22:H24"/>
    <mergeCell ref="I22:I24"/>
    <mergeCell ref="B25:I25"/>
    <mergeCell ref="B48:I48"/>
    <mergeCell ref="B50:I50"/>
    <mergeCell ref="B51:I51"/>
    <mergeCell ref="A1:A51"/>
    <mergeCell ref="B1:I1"/>
    <mergeCell ref="H26:I26"/>
    <mergeCell ref="H27:H29"/>
    <mergeCell ref="I27:I29"/>
    <mergeCell ref="B30:I30"/>
    <mergeCell ref="H31:H32"/>
    <mergeCell ref="I31:I32"/>
    <mergeCell ref="B33:I33"/>
    <mergeCell ref="H34:H35"/>
    <mergeCell ref="I34:I35"/>
    <mergeCell ref="B36:I36"/>
    <mergeCell ref="H37:H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A3E4-56DD-404D-BA43-149452059634}">
  <dimension ref="A1:M51"/>
  <sheetViews>
    <sheetView topLeftCell="A31" workbookViewId="0">
      <selection activeCell="D19" sqref="D19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 t="s">
        <v>30</v>
      </c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 t="s">
        <v>78</v>
      </c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 t="s">
        <v>26</v>
      </c>
      <c r="C4" s="12" t="s">
        <v>22</v>
      </c>
      <c r="D4" s="23" t="s">
        <v>23</v>
      </c>
      <c r="E4" s="23" t="s">
        <v>29</v>
      </c>
      <c r="F4" s="23" t="s">
        <v>21</v>
      </c>
      <c r="G4" s="23" t="s">
        <v>40</v>
      </c>
      <c r="H4" s="23" t="s">
        <v>64</v>
      </c>
      <c r="I4" s="24" t="s">
        <v>35</v>
      </c>
    </row>
    <row r="5" spans="1:13" ht="15" customHeight="1" x14ac:dyDescent="0.25">
      <c r="A5" s="55"/>
      <c r="B5" s="58" t="s">
        <v>15</v>
      </c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 t="s">
        <v>13</v>
      </c>
      <c r="C6" s="3">
        <v>7624.9</v>
      </c>
      <c r="D6" s="3"/>
      <c r="E6" s="3">
        <f>D6-C6</f>
        <v>-7624.9</v>
      </c>
      <c r="F6" s="3">
        <v>1200</v>
      </c>
      <c r="G6" s="19">
        <f>E6*F6</f>
        <v>-9149880</v>
      </c>
      <c r="H6" s="61" t="s">
        <v>39</v>
      </c>
      <c r="I6" s="62"/>
    </row>
    <row r="7" spans="1:13" ht="15" customHeight="1" x14ac:dyDescent="0.25">
      <c r="A7" s="55"/>
      <c r="B7" s="7" t="s">
        <v>14</v>
      </c>
      <c r="C7" s="32">
        <v>7656.17</v>
      </c>
      <c r="D7" s="32"/>
      <c r="E7" s="3">
        <f>D7-C7</f>
        <v>-7656.17</v>
      </c>
      <c r="F7" s="3">
        <v>1200</v>
      </c>
      <c r="G7" s="19">
        <f>E7*F7</f>
        <v>-9187404</v>
      </c>
      <c r="H7" s="63"/>
      <c r="I7" s="64"/>
    </row>
    <row r="8" spans="1:13" ht="15" customHeight="1" x14ac:dyDescent="0.25">
      <c r="A8" s="55"/>
      <c r="B8" s="15" t="s">
        <v>31</v>
      </c>
      <c r="C8" s="17" t="s">
        <v>32</v>
      </c>
      <c r="D8" s="8">
        <f>G6</f>
        <v>-9149880</v>
      </c>
      <c r="E8" s="18" t="s">
        <v>33</v>
      </c>
      <c r="F8" s="3">
        <f>G7</f>
        <v>-9187404</v>
      </c>
      <c r="G8" s="20">
        <f>D8/F8</f>
        <v>0.99591571242540333</v>
      </c>
      <c r="H8" s="63"/>
      <c r="I8" s="64"/>
      <c r="M8" s="29"/>
    </row>
    <row r="9" spans="1:13" ht="15" customHeight="1" thickBot="1" x14ac:dyDescent="0.3">
      <c r="A9" s="55"/>
      <c r="B9" s="9" t="s">
        <v>12</v>
      </c>
      <c r="C9" s="10">
        <v>12.35</v>
      </c>
      <c r="D9" s="14">
        <v>12.35</v>
      </c>
      <c r="E9" s="14">
        <v>1.0680000000000001</v>
      </c>
      <c r="F9" s="14">
        <v>1200</v>
      </c>
      <c r="G9" s="21">
        <f>E9*F9</f>
        <v>1281.6000000000001</v>
      </c>
      <c r="H9" s="65"/>
      <c r="I9" s="66"/>
    </row>
    <row r="10" spans="1:13" ht="15" customHeight="1" x14ac:dyDescent="0.25">
      <c r="A10" s="55"/>
      <c r="B10" s="58" t="s">
        <v>24</v>
      </c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 t="s">
        <v>13</v>
      </c>
      <c r="C11" s="3">
        <v>1055.1199999999999</v>
      </c>
      <c r="D11" s="3"/>
      <c r="E11" s="3">
        <f>D11-C11</f>
        <v>-1055.1199999999999</v>
      </c>
      <c r="F11" s="3">
        <v>1000</v>
      </c>
      <c r="G11" s="19">
        <f>E11*F11</f>
        <v>-1055120</v>
      </c>
      <c r="H11" s="39" t="s">
        <v>70</v>
      </c>
      <c r="I11" s="67" t="s">
        <v>71</v>
      </c>
    </row>
    <row r="12" spans="1:13" ht="15" customHeight="1" thickBot="1" x14ac:dyDescent="0.3">
      <c r="A12" s="55"/>
      <c r="B12" s="9" t="s">
        <v>14</v>
      </c>
      <c r="C12" s="14">
        <v>1067.79</v>
      </c>
      <c r="D12" s="14"/>
      <c r="E12" s="14">
        <f>D12-C12</f>
        <v>-1067.79</v>
      </c>
      <c r="F12" s="14">
        <v>1000</v>
      </c>
      <c r="G12" s="21">
        <f>E12*F12</f>
        <v>-1067790</v>
      </c>
      <c r="H12" s="40"/>
      <c r="I12" s="68"/>
    </row>
    <row r="13" spans="1:13" ht="15" customHeight="1" x14ac:dyDescent="0.25">
      <c r="A13" s="55"/>
      <c r="B13" s="69" t="s">
        <v>34</v>
      </c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 t="s">
        <v>25</v>
      </c>
      <c r="C14" s="14">
        <v>427826.75199999998</v>
      </c>
      <c r="D14" s="14"/>
      <c r="E14" s="14">
        <f>D14-C14</f>
        <v>-427826.75199999998</v>
      </c>
      <c r="F14" s="14">
        <v>1</v>
      </c>
      <c r="G14" s="21">
        <f>E14*F14</f>
        <v>-427826.75199999998</v>
      </c>
      <c r="H14" s="72" t="s">
        <v>39</v>
      </c>
      <c r="I14" s="73"/>
    </row>
    <row r="15" spans="1:13" ht="15" customHeight="1" x14ac:dyDescent="0.25">
      <c r="A15" s="55"/>
      <c r="B15" s="58" t="s">
        <v>16</v>
      </c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 t="s">
        <v>13</v>
      </c>
      <c r="C16" s="3">
        <v>681373.2</v>
      </c>
      <c r="D16" s="3"/>
      <c r="E16" s="3">
        <f>D16-C16</f>
        <v>-681373.2</v>
      </c>
      <c r="F16" s="3">
        <v>1</v>
      </c>
      <c r="G16" s="19">
        <f>E16*F16</f>
        <v>-681373.2</v>
      </c>
      <c r="H16" s="51" t="s">
        <v>43</v>
      </c>
      <c r="I16" s="52"/>
    </row>
    <row r="17" spans="1:9" ht="20.100000000000001" customHeight="1" x14ac:dyDescent="0.25">
      <c r="A17" s="55"/>
      <c r="B17" s="7" t="s">
        <v>14</v>
      </c>
      <c r="C17" s="3">
        <v>710881.7</v>
      </c>
      <c r="D17" s="3"/>
      <c r="E17" s="3">
        <f>D17-C17</f>
        <v>-710881.7</v>
      </c>
      <c r="F17" s="3">
        <v>1</v>
      </c>
      <c r="G17" s="19">
        <f>E17*F17</f>
        <v>-710881.7</v>
      </c>
      <c r="H17" s="74" t="s">
        <v>66</v>
      </c>
      <c r="I17" s="52" t="s">
        <v>65</v>
      </c>
    </row>
    <row r="18" spans="1:9" ht="20.100000000000001" customHeight="1" x14ac:dyDescent="0.25">
      <c r="A18" s="55"/>
      <c r="B18" s="7" t="s">
        <v>27</v>
      </c>
      <c r="C18" s="3">
        <v>2181.17</v>
      </c>
      <c r="D18" s="3"/>
      <c r="E18" s="3">
        <f>D18-C18</f>
        <v>-2181.17</v>
      </c>
      <c r="F18" s="3">
        <v>1</v>
      </c>
      <c r="G18" s="19">
        <f>E18*F18</f>
        <v>-2181.17</v>
      </c>
      <c r="H18" s="75"/>
      <c r="I18" s="52"/>
    </row>
    <row r="19" spans="1:9" ht="20.100000000000001" customHeight="1" thickBot="1" x14ac:dyDescent="0.3">
      <c r="A19" s="55"/>
      <c r="B19" s="9" t="s">
        <v>28</v>
      </c>
      <c r="C19" s="10">
        <v>900</v>
      </c>
      <c r="D19" s="14">
        <v>800</v>
      </c>
      <c r="E19" s="14">
        <f>C19+D19</f>
        <v>1700</v>
      </c>
      <c r="F19" s="14">
        <v>700</v>
      </c>
      <c r="G19" s="21">
        <f>E19-F19</f>
        <v>1000</v>
      </c>
      <c r="H19" s="40"/>
      <c r="I19" s="54"/>
    </row>
    <row r="20" spans="1:9" ht="20.100000000000001" customHeight="1" x14ac:dyDescent="0.25">
      <c r="A20" s="55"/>
      <c r="B20" s="69" t="s">
        <v>75</v>
      </c>
      <c r="C20" s="70"/>
      <c r="D20" s="70"/>
      <c r="E20" s="70"/>
      <c r="F20" s="70"/>
      <c r="G20" s="70"/>
      <c r="H20" s="70"/>
      <c r="I20" s="71"/>
    </row>
    <row r="21" spans="1:9" ht="20.100000000000001" customHeight="1" x14ac:dyDescent="0.25">
      <c r="A21" s="55"/>
      <c r="B21" s="7" t="s">
        <v>13</v>
      </c>
      <c r="C21" s="8">
        <v>163420</v>
      </c>
      <c r="D21" s="8">
        <v>166701</v>
      </c>
      <c r="E21" s="8">
        <f>D21-C21</f>
        <v>3281</v>
      </c>
      <c r="F21" s="8">
        <v>1</v>
      </c>
      <c r="G21" s="22">
        <f>E21*F21</f>
        <v>3281</v>
      </c>
      <c r="H21" s="51" t="s">
        <v>46</v>
      </c>
      <c r="I21" s="52"/>
    </row>
    <row r="22" spans="1:9" ht="20.100000000000001" customHeight="1" x14ac:dyDescent="0.25">
      <c r="A22" s="55"/>
      <c r="B22" s="7" t="s">
        <v>14</v>
      </c>
      <c r="C22" s="8">
        <v>183263</v>
      </c>
      <c r="D22" s="8">
        <v>186752</v>
      </c>
      <c r="E22" s="8">
        <f>D22-C22</f>
        <v>3489</v>
      </c>
      <c r="F22" s="8">
        <v>1</v>
      </c>
      <c r="G22" s="22">
        <f>E22*F22</f>
        <v>3489</v>
      </c>
      <c r="H22" s="51" t="s">
        <v>74</v>
      </c>
      <c r="I22" s="52" t="s">
        <v>74</v>
      </c>
    </row>
    <row r="23" spans="1:9" ht="20.100000000000001" customHeight="1" x14ac:dyDescent="0.25">
      <c r="A23" s="55"/>
      <c r="B23" s="7" t="s">
        <v>27</v>
      </c>
      <c r="C23" s="8">
        <v>834.4</v>
      </c>
      <c r="D23" s="8">
        <v>845.9</v>
      </c>
      <c r="E23" s="8">
        <f>D23-C23</f>
        <v>11.5</v>
      </c>
      <c r="F23" s="8">
        <v>1</v>
      </c>
      <c r="G23" s="22">
        <f>E23*F23</f>
        <v>11.5</v>
      </c>
      <c r="H23" s="51"/>
      <c r="I23" s="52"/>
    </row>
    <row r="24" spans="1:9" ht="20.100000000000001" customHeight="1" thickBot="1" x14ac:dyDescent="0.3">
      <c r="A24" s="55"/>
      <c r="B24" s="9" t="s">
        <v>28</v>
      </c>
      <c r="C24" s="10">
        <v>1000</v>
      </c>
      <c r="D24" s="10">
        <v>800</v>
      </c>
      <c r="E24" s="10">
        <f>C24+D24</f>
        <v>1800</v>
      </c>
      <c r="F24" s="10">
        <v>300</v>
      </c>
      <c r="G24" s="31">
        <f>E24-F24</f>
        <v>1500</v>
      </c>
      <c r="H24" s="53"/>
      <c r="I24" s="54"/>
    </row>
    <row r="25" spans="1:9" ht="15" customHeight="1" x14ac:dyDescent="0.25">
      <c r="A25" s="55"/>
      <c r="B25" s="69" t="s">
        <v>17</v>
      </c>
      <c r="C25" s="70"/>
      <c r="D25" s="70"/>
      <c r="E25" s="70"/>
      <c r="F25" s="70"/>
      <c r="G25" s="70"/>
      <c r="H25" s="70"/>
      <c r="I25" s="71"/>
    </row>
    <row r="26" spans="1:9" ht="15" customHeight="1" x14ac:dyDescent="0.25">
      <c r="A26" s="55"/>
      <c r="B26" s="7" t="s">
        <v>13</v>
      </c>
      <c r="C26" s="8">
        <v>54530.194000000003</v>
      </c>
      <c r="D26" s="8">
        <v>54530.194000000003</v>
      </c>
      <c r="E26" s="8">
        <f>D26-C26</f>
        <v>0</v>
      </c>
      <c r="F26" s="8">
        <v>1</v>
      </c>
      <c r="G26" s="22">
        <f>E26*F26</f>
        <v>0</v>
      </c>
      <c r="H26" s="51" t="s">
        <v>46</v>
      </c>
      <c r="I26" s="52"/>
    </row>
    <row r="27" spans="1:9" ht="15" customHeight="1" x14ac:dyDescent="0.25">
      <c r="A27" s="55"/>
      <c r="B27" s="7" t="s">
        <v>14</v>
      </c>
      <c r="C27" s="8">
        <v>60820.597999999998</v>
      </c>
      <c r="D27" s="8">
        <v>60820.597999999998</v>
      </c>
      <c r="E27" s="8">
        <f>D27-C27</f>
        <v>0</v>
      </c>
      <c r="F27" s="8">
        <v>1</v>
      </c>
      <c r="G27" s="22">
        <f>E27*F27</f>
        <v>0</v>
      </c>
      <c r="H27" s="51" t="s">
        <v>45</v>
      </c>
      <c r="I27" s="52" t="s">
        <v>47</v>
      </c>
    </row>
    <row r="28" spans="1:9" ht="15" customHeight="1" x14ac:dyDescent="0.25">
      <c r="A28" s="55"/>
      <c r="B28" s="7" t="s">
        <v>27</v>
      </c>
      <c r="C28" s="8">
        <v>4582.3999999999996</v>
      </c>
      <c r="D28" s="8">
        <v>4582.3999999999996</v>
      </c>
      <c r="E28" s="8">
        <f>D28-C28</f>
        <v>0</v>
      </c>
      <c r="F28" s="8">
        <v>1</v>
      </c>
      <c r="G28" s="22">
        <f>E28*F28</f>
        <v>0</v>
      </c>
      <c r="H28" s="51"/>
      <c r="I28" s="52"/>
    </row>
    <row r="29" spans="1:9" ht="15" customHeight="1" thickBot="1" x14ac:dyDescent="0.3">
      <c r="A29" s="55"/>
      <c r="B29" s="9" t="s">
        <v>28</v>
      </c>
      <c r="C29" s="10">
        <v>400</v>
      </c>
      <c r="D29" s="10">
        <v>0</v>
      </c>
      <c r="E29" s="10">
        <f>C29+D29</f>
        <v>400</v>
      </c>
      <c r="F29" s="10">
        <v>400</v>
      </c>
      <c r="G29" s="31">
        <f>E29-F29</f>
        <v>0</v>
      </c>
      <c r="H29" s="53"/>
      <c r="I29" s="54"/>
    </row>
    <row r="30" spans="1:9" ht="15" customHeight="1" x14ac:dyDescent="0.25">
      <c r="A30" s="55"/>
      <c r="B30" s="46" t="s">
        <v>18</v>
      </c>
      <c r="C30" s="47"/>
      <c r="D30" s="47"/>
      <c r="E30" s="47"/>
      <c r="F30" s="47"/>
      <c r="G30" s="47"/>
      <c r="H30" s="47"/>
      <c r="I30" s="48"/>
    </row>
    <row r="31" spans="1:9" ht="15" customHeight="1" x14ac:dyDescent="0.25">
      <c r="A31" s="55"/>
      <c r="B31" s="30" t="s">
        <v>27</v>
      </c>
      <c r="C31" s="3">
        <v>44247</v>
      </c>
      <c r="D31" s="3">
        <v>44269</v>
      </c>
      <c r="E31" s="3">
        <f>D31-C31</f>
        <v>22</v>
      </c>
      <c r="F31" s="3">
        <v>1</v>
      </c>
      <c r="G31" s="3">
        <f>E31*F31</f>
        <v>22</v>
      </c>
      <c r="H31" s="49" t="s">
        <v>48</v>
      </c>
      <c r="I31" s="41" t="s">
        <v>49</v>
      </c>
    </row>
    <row r="32" spans="1:9" ht="15" customHeight="1" thickBot="1" x14ac:dyDescent="0.3">
      <c r="A32" s="55"/>
      <c r="B32" s="25" t="s">
        <v>56</v>
      </c>
      <c r="C32" s="16">
        <v>19395</v>
      </c>
      <c r="D32" s="16">
        <v>19403</v>
      </c>
      <c r="E32" s="16">
        <f>D32-C32</f>
        <v>8</v>
      </c>
      <c r="F32" s="16">
        <v>1</v>
      </c>
      <c r="G32" s="16">
        <f>E32*F32</f>
        <v>8</v>
      </c>
      <c r="H32" s="50"/>
      <c r="I32" s="42"/>
    </row>
    <row r="33" spans="1:9" ht="15" customHeight="1" x14ac:dyDescent="0.25">
      <c r="A33" s="55"/>
      <c r="B33" s="34" t="s">
        <v>19</v>
      </c>
      <c r="C33" s="35"/>
      <c r="D33" s="35"/>
      <c r="E33" s="35"/>
      <c r="F33" s="35"/>
      <c r="G33" s="35"/>
      <c r="H33" s="35"/>
      <c r="I33" s="36"/>
    </row>
    <row r="34" spans="1:9" ht="15" customHeight="1" x14ac:dyDescent="0.25">
      <c r="A34" s="55"/>
      <c r="B34" s="30" t="s">
        <v>27</v>
      </c>
      <c r="C34" s="3">
        <v>6348</v>
      </c>
      <c r="D34" s="3">
        <v>6372</v>
      </c>
      <c r="E34" s="3">
        <f>D34-C34</f>
        <v>24</v>
      </c>
      <c r="F34" s="3">
        <v>1</v>
      </c>
      <c r="G34" s="3">
        <f>E34*F34</f>
        <v>24</v>
      </c>
      <c r="H34" s="49" t="s">
        <v>50</v>
      </c>
      <c r="I34" s="41" t="s">
        <v>51</v>
      </c>
    </row>
    <row r="35" spans="1:9" ht="15" customHeight="1" thickBot="1" x14ac:dyDescent="0.3">
      <c r="A35" s="55"/>
      <c r="B35" s="25" t="s">
        <v>56</v>
      </c>
      <c r="C35" s="14">
        <v>5684</v>
      </c>
      <c r="D35" s="14">
        <v>5709</v>
      </c>
      <c r="E35" s="14">
        <f>D35-C35</f>
        <v>25</v>
      </c>
      <c r="F35" s="14">
        <v>1</v>
      </c>
      <c r="G35" s="14">
        <f>E35*F35</f>
        <v>25</v>
      </c>
      <c r="H35" s="50"/>
      <c r="I35" s="42"/>
    </row>
    <row r="36" spans="1:9" ht="15" customHeight="1" x14ac:dyDescent="0.25">
      <c r="A36" s="55"/>
      <c r="B36" s="34" t="s">
        <v>20</v>
      </c>
      <c r="C36" s="35"/>
      <c r="D36" s="35"/>
      <c r="E36" s="35"/>
      <c r="F36" s="35"/>
      <c r="G36" s="35"/>
      <c r="H36" s="35"/>
      <c r="I36" s="36"/>
    </row>
    <row r="37" spans="1:9" ht="15" customHeight="1" x14ac:dyDescent="0.25">
      <c r="A37" s="55"/>
      <c r="B37" s="30" t="s">
        <v>27</v>
      </c>
      <c r="C37" s="3">
        <v>18962</v>
      </c>
      <c r="D37" s="3">
        <v>18976</v>
      </c>
      <c r="E37" s="3">
        <f>D37-C37</f>
        <v>14</v>
      </c>
      <c r="F37" s="3">
        <v>1</v>
      </c>
      <c r="G37" s="3">
        <f>E37*F37</f>
        <v>14</v>
      </c>
      <c r="H37" s="49" t="s">
        <v>52</v>
      </c>
      <c r="I37" s="41" t="s">
        <v>53</v>
      </c>
    </row>
    <row r="38" spans="1:9" ht="15" customHeight="1" thickBot="1" x14ac:dyDescent="0.3">
      <c r="A38" s="55"/>
      <c r="B38" s="13" t="s">
        <v>56</v>
      </c>
      <c r="C38" s="14">
        <v>10667</v>
      </c>
      <c r="D38" s="14">
        <v>10672</v>
      </c>
      <c r="E38" s="14">
        <f>D38-C38</f>
        <v>5</v>
      </c>
      <c r="F38" s="14">
        <v>1</v>
      </c>
      <c r="G38" s="14">
        <f>E38*F38</f>
        <v>5</v>
      </c>
      <c r="H38" s="50"/>
      <c r="I38" s="42"/>
    </row>
    <row r="39" spans="1:9" ht="15" customHeight="1" x14ac:dyDescent="0.25">
      <c r="A39" s="55"/>
      <c r="B39" s="46" t="s">
        <v>36</v>
      </c>
      <c r="C39" s="47"/>
      <c r="D39" s="47"/>
      <c r="E39" s="47"/>
      <c r="F39" s="47"/>
      <c r="G39" s="47"/>
      <c r="H39" s="47"/>
      <c r="I39" s="48"/>
    </row>
    <row r="40" spans="1:9" ht="15" customHeight="1" x14ac:dyDescent="0.25">
      <c r="A40" s="55"/>
      <c r="B40" s="25" t="s">
        <v>27</v>
      </c>
      <c r="C40" s="26">
        <v>3712.7</v>
      </c>
      <c r="D40" s="26">
        <v>3724.3</v>
      </c>
      <c r="E40" s="26">
        <f>D40-C40</f>
        <v>11.600000000000364</v>
      </c>
      <c r="F40" s="26">
        <v>1</v>
      </c>
      <c r="G40" s="26">
        <f>E40*F40</f>
        <v>11.600000000000364</v>
      </c>
      <c r="H40" s="49" t="s">
        <v>54</v>
      </c>
      <c r="I40" s="41" t="s">
        <v>55</v>
      </c>
    </row>
    <row r="41" spans="1:9" ht="15" customHeight="1" thickBot="1" x14ac:dyDescent="0.3">
      <c r="A41" s="55"/>
      <c r="B41" s="43" t="s">
        <v>42</v>
      </c>
      <c r="C41" s="44"/>
      <c r="D41" s="44"/>
      <c r="E41" s="44"/>
      <c r="F41" s="45"/>
      <c r="G41" s="14">
        <v>50</v>
      </c>
      <c r="H41" s="50"/>
      <c r="I41" s="42"/>
    </row>
    <row r="42" spans="1:9" ht="15" customHeight="1" x14ac:dyDescent="0.25">
      <c r="A42" s="55"/>
      <c r="B42" s="34" t="s">
        <v>37</v>
      </c>
      <c r="C42" s="35"/>
      <c r="D42" s="35"/>
      <c r="E42" s="35"/>
      <c r="F42" s="35"/>
      <c r="G42" s="35"/>
      <c r="H42" s="35"/>
      <c r="I42" s="36"/>
    </row>
    <row r="43" spans="1:9" ht="15" customHeight="1" x14ac:dyDescent="0.25">
      <c r="A43" s="55"/>
      <c r="B43" s="25" t="s">
        <v>27</v>
      </c>
      <c r="C43" s="26">
        <v>15556</v>
      </c>
      <c r="D43" s="26">
        <v>15556</v>
      </c>
      <c r="E43" s="26">
        <f>D43-C43</f>
        <v>0</v>
      </c>
      <c r="F43" s="26">
        <v>1</v>
      </c>
      <c r="G43" s="26">
        <f>E43*F43</f>
        <v>0</v>
      </c>
      <c r="H43" s="39" t="s">
        <v>59</v>
      </c>
      <c r="I43" s="41" t="s">
        <v>60</v>
      </c>
    </row>
    <row r="44" spans="1:9" ht="15" customHeight="1" thickBot="1" x14ac:dyDescent="0.3">
      <c r="A44" s="55"/>
      <c r="B44" s="43" t="s">
        <v>42</v>
      </c>
      <c r="C44" s="44"/>
      <c r="D44" s="44"/>
      <c r="E44" s="44"/>
      <c r="F44" s="45"/>
      <c r="G44" s="14">
        <v>0</v>
      </c>
      <c r="H44" s="40"/>
      <c r="I44" s="42"/>
    </row>
    <row r="45" spans="1:9" ht="15" customHeight="1" x14ac:dyDescent="0.25">
      <c r="A45" s="55"/>
      <c r="B45" s="34" t="s">
        <v>38</v>
      </c>
      <c r="C45" s="35"/>
      <c r="D45" s="35"/>
      <c r="E45" s="35"/>
      <c r="F45" s="35"/>
      <c r="G45" s="35"/>
      <c r="H45" s="35"/>
      <c r="I45" s="36"/>
    </row>
    <row r="46" spans="1:9" ht="15" customHeight="1" x14ac:dyDescent="0.25">
      <c r="A46" s="55"/>
      <c r="B46" s="25" t="s">
        <v>27</v>
      </c>
      <c r="C46" s="26">
        <v>6799.7</v>
      </c>
      <c r="D46" s="26">
        <v>6805</v>
      </c>
      <c r="E46" s="26">
        <f>D46-C46</f>
        <v>5.3000000000001819</v>
      </c>
      <c r="F46" s="26">
        <v>1</v>
      </c>
      <c r="G46" s="26">
        <f>E46*F46</f>
        <v>5.3000000000001819</v>
      </c>
      <c r="H46" s="39" t="s">
        <v>57</v>
      </c>
      <c r="I46" s="41" t="s">
        <v>58</v>
      </c>
    </row>
    <row r="47" spans="1:9" ht="15" customHeight="1" thickBot="1" x14ac:dyDescent="0.3">
      <c r="A47" s="55"/>
      <c r="B47" s="43" t="s">
        <v>42</v>
      </c>
      <c r="C47" s="44"/>
      <c r="D47" s="44"/>
      <c r="E47" s="44"/>
      <c r="F47" s="45"/>
      <c r="G47" s="14">
        <v>0</v>
      </c>
      <c r="H47" s="40"/>
      <c r="I47" s="42"/>
    </row>
    <row r="48" spans="1:9" ht="15" customHeight="1" x14ac:dyDescent="0.25">
      <c r="A48" s="55"/>
      <c r="B48" s="34" t="s">
        <v>41</v>
      </c>
      <c r="C48" s="35"/>
      <c r="D48" s="35"/>
      <c r="E48" s="35"/>
      <c r="F48" s="35"/>
      <c r="G48" s="35"/>
      <c r="H48" s="35"/>
      <c r="I48" s="36"/>
    </row>
    <row r="49" spans="1:9" ht="27.75" customHeight="1" thickBot="1" x14ac:dyDescent="0.3">
      <c r="A49" s="55"/>
      <c r="B49" s="13" t="s">
        <v>27</v>
      </c>
      <c r="C49" s="27">
        <v>811</v>
      </c>
      <c r="D49" s="27">
        <v>814</v>
      </c>
      <c r="E49" s="27">
        <f>D49-C49</f>
        <v>3</v>
      </c>
      <c r="F49" s="27">
        <v>1</v>
      </c>
      <c r="G49" s="27">
        <f>E49*F49</f>
        <v>3</v>
      </c>
      <c r="H49" s="33" t="s">
        <v>63</v>
      </c>
      <c r="I49" s="28" t="s">
        <v>62</v>
      </c>
    </row>
    <row r="50" spans="1:9" ht="23.25" customHeight="1" x14ac:dyDescent="0.25">
      <c r="A50" s="55"/>
      <c r="B50" s="37" t="s">
        <v>44</v>
      </c>
      <c r="C50" s="37"/>
      <c r="D50" s="37"/>
      <c r="E50" s="37"/>
      <c r="F50" s="37"/>
      <c r="G50" s="37"/>
      <c r="H50" s="37"/>
      <c r="I50" s="37"/>
    </row>
    <row r="51" spans="1:9" ht="34.5" customHeight="1" x14ac:dyDescent="0.25">
      <c r="A51" s="55"/>
      <c r="B51" s="38" t="s">
        <v>61</v>
      </c>
      <c r="C51" s="38"/>
      <c r="D51" s="38"/>
      <c r="E51" s="38"/>
      <c r="F51" s="38"/>
      <c r="G51" s="38"/>
      <c r="H51" s="38"/>
      <c r="I51" s="38"/>
    </row>
  </sheetData>
  <mergeCells count="47">
    <mergeCell ref="H46:H47"/>
    <mergeCell ref="I46:I47"/>
    <mergeCell ref="B47:F47"/>
    <mergeCell ref="B45:I45"/>
    <mergeCell ref="I40:I41"/>
    <mergeCell ref="B41:F41"/>
    <mergeCell ref="B42:I42"/>
    <mergeCell ref="H43:H44"/>
    <mergeCell ref="I43:I44"/>
    <mergeCell ref="B44:F44"/>
    <mergeCell ref="B2:I2"/>
    <mergeCell ref="B3:I3"/>
    <mergeCell ref="B5:I5"/>
    <mergeCell ref="H6:I9"/>
    <mergeCell ref="B10:I10"/>
    <mergeCell ref="I37:I38"/>
    <mergeCell ref="B39:I39"/>
    <mergeCell ref="H40:H41"/>
    <mergeCell ref="H11:H12"/>
    <mergeCell ref="I11:I12"/>
    <mergeCell ref="B13:I13"/>
    <mergeCell ref="H14:I14"/>
    <mergeCell ref="B15:I15"/>
    <mergeCell ref="H16:I16"/>
    <mergeCell ref="H17:H19"/>
    <mergeCell ref="I17:I19"/>
    <mergeCell ref="B20:I20"/>
    <mergeCell ref="H21:I21"/>
    <mergeCell ref="H22:H24"/>
    <mergeCell ref="I22:I24"/>
    <mergeCell ref="B25:I25"/>
    <mergeCell ref="B48:I48"/>
    <mergeCell ref="B50:I50"/>
    <mergeCell ref="B51:I51"/>
    <mergeCell ref="A1:A51"/>
    <mergeCell ref="B1:I1"/>
    <mergeCell ref="H26:I26"/>
    <mergeCell ref="H27:H29"/>
    <mergeCell ref="I27:I29"/>
    <mergeCell ref="B30:I30"/>
    <mergeCell ref="H31:H32"/>
    <mergeCell ref="I31:I32"/>
    <mergeCell ref="B33:I33"/>
    <mergeCell ref="H34:H35"/>
    <mergeCell ref="I34:I35"/>
    <mergeCell ref="B36:I36"/>
    <mergeCell ref="H37:H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FC3C-8D2C-4180-BB5E-75E09903EC62}">
  <dimension ref="A1:M51"/>
  <sheetViews>
    <sheetView workbookViewId="0">
      <selection sqref="A1:XFD1048576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 t="s">
        <v>30</v>
      </c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 t="s">
        <v>85</v>
      </c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 t="s">
        <v>26</v>
      </c>
      <c r="C4" s="12" t="s">
        <v>22</v>
      </c>
      <c r="D4" s="23" t="s">
        <v>23</v>
      </c>
      <c r="E4" s="23" t="s">
        <v>29</v>
      </c>
      <c r="F4" s="23" t="s">
        <v>21</v>
      </c>
      <c r="G4" s="23" t="s">
        <v>40</v>
      </c>
      <c r="H4" s="23" t="s">
        <v>64</v>
      </c>
      <c r="I4" s="24" t="s">
        <v>35</v>
      </c>
    </row>
    <row r="5" spans="1:13" ht="15" customHeight="1" x14ac:dyDescent="0.25">
      <c r="A5" s="55"/>
      <c r="B5" s="58" t="s">
        <v>15</v>
      </c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 t="s">
        <v>13</v>
      </c>
      <c r="C6" s="3">
        <v>7662.5</v>
      </c>
      <c r="D6" s="3">
        <v>7675.74</v>
      </c>
      <c r="E6" s="3">
        <f>D6-C6</f>
        <v>13.239999999999782</v>
      </c>
      <c r="F6" s="3">
        <v>1200</v>
      </c>
      <c r="G6" s="19">
        <f>E6*F6</f>
        <v>15887.999999999738</v>
      </c>
      <c r="H6" s="61" t="s">
        <v>39</v>
      </c>
      <c r="I6" s="62"/>
    </row>
    <row r="7" spans="1:13" ht="15" customHeight="1" x14ac:dyDescent="0.25">
      <c r="A7" s="55"/>
      <c r="B7" s="7" t="s">
        <v>14</v>
      </c>
      <c r="C7" s="32">
        <v>7693.91</v>
      </c>
      <c r="D7" s="32">
        <v>7707.04</v>
      </c>
      <c r="E7" s="3">
        <f>D7-C7</f>
        <v>13.130000000000109</v>
      </c>
      <c r="F7" s="3">
        <v>1200</v>
      </c>
      <c r="G7" s="19">
        <f>E7*F7</f>
        <v>15756.000000000131</v>
      </c>
      <c r="H7" s="63"/>
      <c r="I7" s="64"/>
    </row>
    <row r="8" spans="1:13" ht="15" customHeight="1" x14ac:dyDescent="0.25">
      <c r="A8" s="55"/>
      <c r="B8" s="15" t="s">
        <v>31</v>
      </c>
      <c r="C8" s="17" t="s">
        <v>32</v>
      </c>
      <c r="D8" s="8">
        <f>G6</f>
        <v>15887.999999999738</v>
      </c>
      <c r="E8" s="18" t="s">
        <v>33</v>
      </c>
      <c r="F8" s="3">
        <f>G7</f>
        <v>15756.000000000131</v>
      </c>
      <c r="G8" s="20">
        <f>D8/F8</f>
        <v>1.0083777608529834</v>
      </c>
      <c r="H8" s="63"/>
      <c r="I8" s="64"/>
      <c r="M8" s="29"/>
    </row>
    <row r="9" spans="1:13" ht="15" customHeight="1" thickBot="1" x14ac:dyDescent="0.3">
      <c r="A9" s="55"/>
      <c r="B9" s="9" t="s">
        <v>12</v>
      </c>
      <c r="C9" s="10">
        <v>12.35</v>
      </c>
      <c r="D9" s="14">
        <v>12.35</v>
      </c>
      <c r="E9" s="14">
        <v>1.0680000000000001</v>
      </c>
      <c r="F9" s="14">
        <v>1200</v>
      </c>
      <c r="G9" s="21">
        <f>E9*F9</f>
        <v>1281.6000000000001</v>
      </c>
      <c r="H9" s="65"/>
      <c r="I9" s="66"/>
    </row>
    <row r="10" spans="1:13" ht="15" customHeight="1" x14ac:dyDescent="0.25">
      <c r="A10" s="55"/>
      <c r="B10" s="58" t="s">
        <v>24</v>
      </c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 t="s">
        <v>13</v>
      </c>
      <c r="C11" s="3">
        <v>1058.56</v>
      </c>
      <c r="D11" s="3">
        <v>1060.1099999999999</v>
      </c>
      <c r="E11" s="3">
        <f>D11-C11</f>
        <v>1.5499999999999545</v>
      </c>
      <c r="F11" s="3">
        <v>1000</v>
      </c>
      <c r="G11" s="19">
        <f>E11*F11</f>
        <v>1549.9999999999545</v>
      </c>
      <c r="H11" s="39" t="s">
        <v>70</v>
      </c>
      <c r="I11" s="67" t="s">
        <v>71</v>
      </c>
    </row>
    <row r="12" spans="1:13" ht="15" customHeight="1" thickBot="1" x14ac:dyDescent="0.3">
      <c r="A12" s="55"/>
      <c r="B12" s="9" t="s">
        <v>14</v>
      </c>
      <c r="C12" s="14">
        <v>1071.32</v>
      </c>
      <c r="D12" s="14">
        <v>1072.8800000000001</v>
      </c>
      <c r="E12" s="14">
        <f>D12-C12</f>
        <v>1.5600000000001728</v>
      </c>
      <c r="F12" s="14">
        <v>1000</v>
      </c>
      <c r="G12" s="21">
        <f>E12*F12</f>
        <v>1560.0000000001728</v>
      </c>
      <c r="H12" s="40"/>
      <c r="I12" s="68"/>
    </row>
    <row r="13" spans="1:13" ht="15" customHeight="1" x14ac:dyDescent="0.25">
      <c r="A13" s="55"/>
      <c r="B13" s="69" t="s">
        <v>34</v>
      </c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 t="s">
        <v>25</v>
      </c>
      <c r="C14" s="14">
        <v>439442.33600000001</v>
      </c>
      <c r="D14" s="14">
        <v>441542.32900000003</v>
      </c>
      <c r="E14" s="14">
        <f>D14-C14</f>
        <v>2099.9930000000168</v>
      </c>
      <c r="F14" s="14">
        <v>1</v>
      </c>
      <c r="G14" s="21">
        <f>E14*F14</f>
        <v>2099.9930000000168</v>
      </c>
      <c r="H14" s="72" t="s">
        <v>39</v>
      </c>
      <c r="I14" s="73"/>
    </row>
    <row r="15" spans="1:13" ht="15" customHeight="1" x14ac:dyDescent="0.25">
      <c r="A15" s="55"/>
      <c r="B15" s="58" t="s">
        <v>16</v>
      </c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 t="s">
        <v>13</v>
      </c>
      <c r="C16" s="3">
        <v>688581.3</v>
      </c>
      <c r="D16" s="3">
        <v>689006.2</v>
      </c>
      <c r="E16" s="3">
        <f>D16-C16</f>
        <v>424.89999999990687</v>
      </c>
      <c r="F16" s="3">
        <v>1</v>
      </c>
      <c r="G16" s="19">
        <f>E16*F16</f>
        <v>424.89999999990687</v>
      </c>
      <c r="H16" s="51" t="s">
        <v>43</v>
      </c>
      <c r="I16" s="52"/>
    </row>
    <row r="17" spans="1:9" ht="20.100000000000001" customHeight="1" x14ac:dyDescent="0.25">
      <c r="A17" s="55"/>
      <c r="B17" s="7" t="s">
        <v>14</v>
      </c>
      <c r="C17" s="3">
        <v>718235.8</v>
      </c>
      <c r="D17" s="3">
        <v>718663.5</v>
      </c>
      <c r="E17" s="3">
        <f>D17-C17</f>
        <v>427.69999999995343</v>
      </c>
      <c r="F17" s="3">
        <v>1</v>
      </c>
      <c r="G17" s="19">
        <f>E17*F17</f>
        <v>427.69999999995343</v>
      </c>
      <c r="H17" s="74" t="s">
        <v>66</v>
      </c>
      <c r="I17" s="52" t="s">
        <v>65</v>
      </c>
    </row>
    <row r="18" spans="1:9" ht="20.100000000000001" customHeight="1" x14ac:dyDescent="0.25">
      <c r="A18" s="55"/>
      <c r="B18" s="7" t="s">
        <v>27</v>
      </c>
      <c r="C18" s="3">
        <v>2203.48</v>
      </c>
      <c r="D18" s="3">
        <v>2205.13</v>
      </c>
      <c r="E18" s="3">
        <f>D18-C18</f>
        <v>1.6500000000000909</v>
      </c>
      <c r="F18" s="3">
        <v>1</v>
      </c>
      <c r="G18" s="19">
        <f>E18*F18</f>
        <v>1.6500000000000909</v>
      </c>
      <c r="H18" s="75"/>
      <c r="I18" s="52"/>
    </row>
    <row r="19" spans="1:9" ht="20.100000000000001" customHeight="1" thickBot="1" x14ac:dyDescent="0.3">
      <c r="A19" s="55"/>
      <c r="B19" s="9" t="s">
        <v>28</v>
      </c>
      <c r="C19" s="10">
        <v>1000</v>
      </c>
      <c r="D19" s="14">
        <v>0</v>
      </c>
      <c r="E19" s="14">
        <f>C19+D19</f>
        <v>1000</v>
      </c>
      <c r="F19" s="14">
        <v>700</v>
      </c>
      <c r="G19" s="21">
        <f>E19-F19</f>
        <v>300</v>
      </c>
      <c r="H19" s="40"/>
      <c r="I19" s="54"/>
    </row>
    <row r="20" spans="1:9" ht="20.100000000000001" customHeight="1" x14ac:dyDescent="0.25">
      <c r="A20" s="55"/>
      <c r="B20" s="69" t="s">
        <v>75</v>
      </c>
      <c r="C20" s="70"/>
      <c r="D20" s="70"/>
      <c r="E20" s="70"/>
      <c r="F20" s="70"/>
      <c r="G20" s="70"/>
      <c r="H20" s="70"/>
      <c r="I20" s="71"/>
    </row>
    <row r="21" spans="1:9" ht="20.100000000000001" customHeight="1" x14ac:dyDescent="0.25">
      <c r="A21" s="55"/>
      <c r="B21" s="7" t="s">
        <v>13</v>
      </c>
      <c r="C21" s="8">
        <v>189514</v>
      </c>
      <c r="D21" s="8">
        <v>189849</v>
      </c>
      <c r="E21" s="8">
        <f>D21-C21</f>
        <v>335</v>
      </c>
      <c r="F21" s="8">
        <v>1</v>
      </c>
      <c r="G21" s="22">
        <f>E21*F21</f>
        <v>335</v>
      </c>
      <c r="H21" s="51" t="s">
        <v>46</v>
      </c>
      <c r="I21" s="52"/>
    </row>
    <row r="22" spans="1:9" ht="20.100000000000001" customHeight="1" x14ac:dyDescent="0.25">
      <c r="A22" s="55"/>
      <c r="B22" s="7" t="s">
        <v>14</v>
      </c>
      <c r="C22" s="8">
        <v>210341</v>
      </c>
      <c r="D22" s="8">
        <v>210701</v>
      </c>
      <c r="E22" s="8">
        <f>D22-C22</f>
        <v>360</v>
      </c>
      <c r="F22" s="8">
        <v>1</v>
      </c>
      <c r="G22" s="22">
        <f>E22*F22</f>
        <v>360</v>
      </c>
      <c r="H22" s="51" t="s">
        <v>74</v>
      </c>
      <c r="I22" s="52" t="s">
        <v>74</v>
      </c>
    </row>
    <row r="23" spans="1:9" ht="20.100000000000001" customHeight="1" x14ac:dyDescent="0.25">
      <c r="A23" s="55"/>
      <c r="B23" s="7" t="s">
        <v>27</v>
      </c>
      <c r="C23" s="8">
        <v>896.6</v>
      </c>
      <c r="D23" s="8">
        <v>898.2</v>
      </c>
      <c r="E23" s="8">
        <f>D23-C23</f>
        <v>1.6000000000000227</v>
      </c>
      <c r="F23" s="8">
        <v>1</v>
      </c>
      <c r="G23" s="22">
        <f>E23*F23</f>
        <v>1.6000000000000227</v>
      </c>
      <c r="H23" s="51"/>
      <c r="I23" s="52"/>
    </row>
    <row r="24" spans="1:9" ht="20.100000000000001" customHeight="1" thickBot="1" x14ac:dyDescent="0.3">
      <c r="A24" s="55"/>
      <c r="B24" s="9" t="s">
        <v>28</v>
      </c>
      <c r="C24" s="10">
        <v>600</v>
      </c>
      <c r="D24" s="10">
        <v>0</v>
      </c>
      <c r="E24" s="10">
        <f>C24+D24</f>
        <v>600</v>
      </c>
      <c r="F24" s="10">
        <v>300</v>
      </c>
      <c r="G24" s="31">
        <f>E24-F24</f>
        <v>300</v>
      </c>
      <c r="H24" s="53"/>
      <c r="I24" s="54"/>
    </row>
    <row r="25" spans="1:9" ht="15" customHeight="1" x14ac:dyDescent="0.25">
      <c r="A25" s="55"/>
      <c r="B25" s="69" t="s">
        <v>17</v>
      </c>
      <c r="C25" s="70"/>
      <c r="D25" s="70"/>
      <c r="E25" s="70"/>
      <c r="F25" s="70"/>
      <c r="G25" s="70"/>
      <c r="H25" s="70"/>
      <c r="I25" s="71"/>
    </row>
    <row r="26" spans="1:9" ht="15" customHeight="1" x14ac:dyDescent="0.25">
      <c r="A26" s="55"/>
      <c r="B26" s="7" t="s">
        <v>13</v>
      </c>
      <c r="C26" s="8">
        <v>79134.297000000006</v>
      </c>
      <c r="D26" s="8">
        <v>79134.297000000006</v>
      </c>
      <c r="E26" s="8">
        <f>D26-C26</f>
        <v>0</v>
      </c>
      <c r="F26" s="8">
        <v>1</v>
      </c>
      <c r="G26" s="22">
        <f>E26*F26</f>
        <v>0</v>
      </c>
      <c r="H26" s="51" t="s">
        <v>46</v>
      </c>
      <c r="I26" s="52"/>
    </row>
    <row r="27" spans="1:9" ht="15" customHeight="1" x14ac:dyDescent="0.25">
      <c r="A27" s="55"/>
      <c r="B27" s="7" t="s">
        <v>14</v>
      </c>
      <c r="C27" s="8">
        <v>87021.394</v>
      </c>
      <c r="D27" s="8">
        <v>87021.394</v>
      </c>
      <c r="E27" s="8">
        <f>D27-C27</f>
        <v>0</v>
      </c>
      <c r="F27" s="8">
        <v>1</v>
      </c>
      <c r="G27" s="22">
        <f>E27*F27</f>
        <v>0</v>
      </c>
      <c r="H27" s="51" t="s">
        <v>45</v>
      </c>
      <c r="I27" s="52" t="s">
        <v>47</v>
      </c>
    </row>
    <row r="28" spans="1:9" ht="15" customHeight="1" x14ac:dyDescent="0.25">
      <c r="A28" s="55"/>
      <c r="B28" s="7" t="s">
        <v>27</v>
      </c>
      <c r="C28" s="8">
        <v>4629.6499999999996</v>
      </c>
      <c r="D28" s="8">
        <v>4629.6499999999996</v>
      </c>
      <c r="E28" s="8">
        <f>D28-C28</f>
        <v>0</v>
      </c>
      <c r="F28" s="8">
        <v>1</v>
      </c>
      <c r="G28" s="22">
        <f>E28*F28</f>
        <v>0</v>
      </c>
      <c r="H28" s="51"/>
      <c r="I28" s="52"/>
    </row>
    <row r="29" spans="1:9" ht="15" customHeight="1" thickBot="1" x14ac:dyDescent="0.3">
      <c r="A29" s="55"/>
      <c r="B29" s="9" t="s">
        <v>28</v>
      </c>
      <c r="C29" s="10">
        <v>400</v>
      </c>
      <c r="D29" s="10">
        <v>0</v>
      </c>
      <c r="E29" s="10">
        <f>C29+D29</f>
        <v>400</v>
      </c>
      <c r="F29" s="10">
        <v>400</v>
      </c>
      <c r="G29" s="31">
        <f>E29-F29</f>
        <v>0</v>
      </c>
      <c r="H29" s="53"/>
      <c r="I29" s="54"/>
    </row>
    <row r="30" spans="1:9" ht="15" customHeight="1" x14ac:dyDescent="0.25">
      <c r="A30" s="55"/>
      <c r="B30" s="46" t="s">
        <v>83</v>
      </c>
      <c r="C30" s="47"/>
      <c r="D30" s="47"/>
      <c r="E30" s="47"/>
      <c r="F30" s="47"/>
      <c r="G30" s="47"/>
      <c r="H30" s="47"/>
      <c r="I30" s="48"/>
    </row>
    <row r="31" spans="1:9" ht="15" customHeight="1" x14ac:dyDescent="0.25">
      <c r="A31" s="55"/>
      <c r="B31" s="30" t="s">
        <v>27</v>
      </c>
      <c r="C31" s="3">
        <v>44380</v>
      </c>
      <c r="D31" s="3">
        <v>44403</v>
      </c>
      <c r="E31" s="3">
        <f>D31-C31</f>
        <v>23</v>
      </c>
      <c r="F31" s="3">
        <v>1</v>
      </c>
      <c r="G31" s="3">
        <f>E31*F31</f>
        <v>23</v>
      </c>
      <c r="H31" s="49" t="s">
        <v>48</v>
      </c>
      <c r="I31" s="41" t="s">
        <v>49</v>
      </c>
    </row>
    <row r="32" spans="1:9" ht="15" customHeight="1" thickBot="1" x14ac:dyDescent="0.3">
      <c r="A32" s="55"/>
      <c r="B32" s="25" t="s">
        <v>56</v>
      </c>
      <c r="C32" s="16">
        <v>19443</v>
      </c>
      <c r="D32" s="16">
        <v>19450</v>
      </c>
      <c r="E32" s="16">
        <f>D32-C32</f>
        <v>7</v>
      </c>
      <c r="F32" s="16">
        <v>1</v>
      </c>
      <c r="G32" s="16">
        <f>E32*F32</f>
        <v>7</v>
      </c>
      <c r="H32" s="50"/>
      <c r="I32" s="42"/>
    </row>
    <row r="33" spans="1:9" ht="15" customHeight="1" x14ac:dyDescent="0.25">
      <c r="A33" s="55"/>
      <c r="B33" s="34" t="s">
        <v>82</v>
      </c>
      <c r="C33" s="35"/>
      <c r="D33" s="35"/>
      <c r="E33" s="35"/>
      <c r="F33" s="35"/>
      <c r="G33" s="35"/>
      <c r="H33" s="35"/>
      <c r="I33" s="36"/>
    </row>
    <row r="34" spans="1:9" ht="15" customHeight="1" x14ac:dyDescent="0.25">
      <c r="A34" s="55"/>
      <c r="B34" s="30" t="s">
        <v>27</v>
      </c>
      <c r="C34" s="3">
        <v>6463</v>
      </c>
      <c r="D34" s="3">
        <v>6472</v>
      </c>
      <c r="E34" s="3">
        <f>D34-C34</f>
        <v>9</v>
      </c>
      <c r="F34" s="3">
        <v>1</v>
      </c>
      <c r="G34" s="3">
        <f>E34*F34</f>
        <v>9</v>
      </c>
      <c r="H34" s="39" t="s">
        <v>79</v>
      </c>
      <c r="I34" s="41" t="s">
        <v>80</v>
      </c>
    </row>
    <row r="35" spans="1:9" ht="15" customHeight="1" thickBot="1" x14ac:dyDescent="0.3">
      <c r="A35" s="55"/>
      <c r="B35" s="25" t="s">
        <v>56</v>
      </c>
      <c r="C35" s="14">
        <v>5788</v>
      </c>
      <c r="D35" s="14">
        <v>5796</v>
      </c>
      <c r="E35" s="14">
        <f>D35-C35</f>
        <v>8</v>
      </c>
      <c r="F35" s="14">
        <v>1</v>
      </c>
      <c r="G35" s="14">
        <f>E35*F35</f>
        <v>8</v>
      </c>
      <c r="H35" s="40"/>
      <c r="I35" s="42"/>
    </row>
    <row r="36" spans="1:9" ht="15" customHeight="1" x14ac:dyDescent="0.25">
      <c r="A36" s="55"/>
      <c r="B36" s="34" t="s">
        <v>81</v>
      </c>
      <c r="C36" s="35"/>
      <c r="D36" s="35"/>
      <c r="E36" s="35"/>
      <c r="F36" s="35"/>
      <c r="G36" s="35"/>
      <c r="H36" s="35"/>
      <c r="I36" s="36"/>
    </row>
    <row r="37" spans="1:9" ht="15" customHeight="1" x14ac:dyDescent="0.25">
      <c r="A37" s="55"/>
      <c r="B37" s="30" t="s">
        <v>27</v>
      </c>
      <c r="C37" s="3">
        <v>19029</v>
      </c>
      <c r="D37" s="3">
        <v>19042</v>
      </c>
      <c r="E37" s="3">
        <f>D37-C37</f>
        <v>13</v>
      </c>
      <c r="F37" s="3">
        <v>1</v>
      </c>
      <c r="G37" s="3">
        <f>E37*F37</f>
        <v>13</v>
      </c>
      <c r="H37" s="49" t="s">
        <v>52</v>
      </c>
      <c r="I37" s="41" t="s">
        <v>53</v>
      </c>
    </row>
    <row r="38" spans="1:9" ht="15" customHeight="1" thickBot="1" x14ac:dyDescent="0.3">
      <c r="A38" s="55"/>
      <c r="B38" s="13" t="s">
        <v>56</v>
      </c>
      <c r="C38" s="14">
        <v>10708</v>
      </c>
      <c r="D38" s="14">
        <v>10716</v>
      </c>
      <c r="E38" s="14">
        <f>D38-C38</f>
        <v>8</v>
      </c>
      <c r="F38" s="14">
        <v>1</v>
      </c>
      <c r="G38" s="14">
        <f>E38*F38</f>
        <v>8</v>
      </c>
      <c r="H38" s="50"/>
      <c r="I38" s="42"/>
    </row>
    <row r="39" spans="1:9" ht="15" customHeight="1" x14ac:dyDescent="0.25">
      <c r="A39" s="55"/>
      <c r="B39" s="46" t="s">
        <v>36</v>
      </c>
      <c r="C39" s="47"/>
      <c r="D39" s="47"/>
      <c r="E39" s="47"/>
      <c r="F39" s="47"/>
      <c r="G39" s="47"/>
      <c r="H39" s="47"/>
      <c r="I39" s="48"/>
    </row>
    <row r="40" spans="1:9" ht="15" customHeight="1" x14ac:dyDescent="0.25">
      <c r="A40" s="55"/>
      <c r="B40" s="25" t="s">
        <v>27</v>
      </c>
      <c r="C40" s="26">
        <v>3754.3</v>
      </c>
      <c r="D40" s="26">
        <v>3758.2</v>
      </c>
      <c r="E40" s="26">
        <f>D40-C40</f>
        <v>3.8999999999996362</v>
      </c>
      <c r="F40" s="26">
        <v>1</v>
      </c>
      <c r="G40" s="26">
        <f>E40*F40</f>
        <v>3.8999999999996362</v>
      </c>
      <c r="H40" s="49" t="s">
        <v>54</v>
      </c>
      <c r="I40" s="41" t="s">
        <v>55</v>
      </c>
    </row>
    <row r="41" spans="1:9" ht="15" customHeight="1" thickBot="1" x14ac:dyDescent="0.3">
      <c r="A41" s="55"/>
      <c r="B41" s="43" t="s">
        <v>42</v>
      </c>
      <c r="C41" s="44"/>
      <c r="D41" s="44"/>
      <c r="E41" s="44"/>
      <c r="F41" s="45"/>
      <c r="G41" s="14">
        <v>50</v>
      </c>
      <c r="H41" s="50"/>
      <c r="I41" s="42"/>
    </row>
    <row r="42" spans="1:9" ht="15" customHeight="1" x14ac:dyDescent="0.25">
      <c r="A42" s="55"/>
      <c r="B42" s="34" t="s">
        <v>37</v>
      </c>
      <c r="C42" s="35"/>
      <c r="D42" s="35"/>
      <c r="E42" s="35"/>
      <c r="F42" s="35"/>
      <c r="G42" s="35"/>
      <c r="H42" s="35"/>
      <c r="I42" s="36"/>
    </row>
    <row r="43" spans="1:9" ht="15" customHeight="1" x14ac:dyDescent="0.25">
      <c r="A43" s="55"/>
      <c r="B43" s="25" t="s">
        <v>27</v>
      </c>
      <c r="C43" s="26">
        <v>15556</v>
      </c>
      <c r="D43" s="26">
        <v>15556</v>
      </c>
      <c r="E43" s="26">
        <f>D43-C43</f>
        <v>0</v>
      </c>
      <c r="F43" s="26">
        <v>1</v>
      </c>
      <c r="G43" s="26">
        <f>E43*F43</f>
        <v>0</v>
      </c>
      <c r="H43" s="39" t="s">
        <v>59</v>
      </c>
      <c r="I43" s="41" t="s">
        <v>60</v>
      </c>
    </row>
    <row r="44" spans="1:9" ht="15" customHeight="1" thickBot="1" x14ac:dyDescent="0.3">
      <c r="A44" s="55"/>
      <c r="B44" s="43" t="s">
        <v>42</v>
      </c>
      <c r="C44" s="44"/>
      <c r="D44" s="44"/>
      <c r="E44" s="44"/>
      <c r="F44" s="45"/>
      <c r="G44" s="14">
        <v>0</v>
      </c>
      <c r="H44" s="40"/>
      <c r="I44" s="42"/>
    </row>
    <row r="45" spans="1:9" ht="15" customHeight="1" x14ac:dyDescent="0.25">
      <c r="A45" s="55"/>
      <c r="B45" s="34" t="s">
        <v>38</v>
      </c>
      <c r="C45" s="35"/>
      <c r="D45" s="35"/>
      <c r="E45" s="35"/>
      <c r="F45" s="35"/>
      <c r="G45" s="35"/>
      <c r="H45" s="35"/>
      <c r="I45" s="36"/>
    </row>
    <row r="46" spans="1:9" ht="15" customHeight="1" x14ac:dyDescent="0.25">
      <c r="A46" s="55"/>
      <c r="B46" s="25" t="s">
        <v>27</v>
      </c>
      <c r="C46" s="26">
        <v>6840</v>
      </c>
      <c r="D46" s="26">
        <v>6845</v>
      </c>
      <c r="E46" s="26">
        <f>D46-C46</f>
        <v>5</v>
      </c>
      <c r="F46" s="26">
        <v>1</v>
      </c>
      <c r="G46" s="26">
        <f>E46*F46</f>
        <v>5</v>
      </c>
      <c r="H46" s="39" t="s">
        <v>57</v>
      </c>
      <c r="I46" s="41" t="s">
        <v>58</v>
      </c>
    </row>
    <row r="47" spans="1:9" ht="15" customHeight="1" thickBot="1" x14ac:dyDescent="0.3">
      <c r="A47" s="55"/>
      <c r="B47" s="43" t="s">
        <v>42</v>
      </c>
      <c r="C47" s="44"/>
      <c r="D47" s="44"/>
      <c r="E47" s="44"/>
      <c r="F47" s="45"/>
      <c r="G47" s="14">
        <v>0</v>
      </c>
      <c r="H47" s="40"/>
      <c r="I47" s="42"/>
    </row>
    <row r="48" spans="1:9" ht="15" customHeight="1" x14ac:dyDescent="0.25">
      <c r="A48" s="55"/>
      <c r="B48" s="34" t="s">
        <v>41</v>
      </c>
      <c r="C48" s="35"/>
      <c r="D48" s="35"/>
      <c r="E48" s="35"/>
      <c r="F48" s="35"/>
      <c r="G48" s="35"/>
      <c r="H48" s="35"/>
      <c r="I48" s="36"/>
    </row>
    <row r="49" spans="1:9" ht="27.75" customHeight="1" thickBot="1" x14ac:dyDescent="0.3">
      <c r="A49" s="55"/>
      <c r="B49" s="13" t="s">
        <v>27</v>
      </c>
      <c r="C49" s="27">
        <v>825</v>
      </c>
      <c r="D49" s="27">
        <v>826</v>
      </c>
      <c r="E49" s="27">
        <f>D49-C49</f>
        <v>1</v>
      </c>
      <c r="F49" s="27">
        <v>1</v>
      </c>
      <c r="G49" s="27">
        <f>E49*F49</f>
        <v>1</v>
      </c>
      <c r="H49" s="33" t="s">
        <v>63</v>
      </c>
      <c r="I49" s="28" t="s">
        <v>62</v>
      </c>
    </row>
    <row r="50" spans="1:9" ht="29.25" customHeight="1" x14ac:dyDescent="0.25">
      <c r="A50" s="55"/>
      <c r="B50" s="37" t="s">
        <v>84</v>
      </c>
      <c r="C50" s="37"/>
      <c r="D50" s="37"/>
      <c r="E50" s="37"/>
      <c r="F50" s="37"/>
      <c r="G50" s="37"/>
      <c r="H50" s="37"/>
      <c r="I50" s="37"/>
    </row>
    <row r="51" spans="1:9" ht="34.5" customHeight="1" x14ac:dyDescent="0.25">
      <c r="A51" s="55"/>
      <c r="B51" s="38">
        <v>2</v>
      </c>
      <c r="C51" s="38"/>
      <c r="D51" s="38"/>
      <c r="E51" s="38"/>
      <c r="F51" s="38"/>
      <c r="G51" s="38"/>
      <c r="H51" s="38"/>
      <c r="I51" s="38"/>
    </row>
  </sheetData>
  <mergeCells count="47">
    <mergeCell ref="B20:I20"/>
    <mergeCell ref="B48:I48"/>
    <mergeCell ref="B50:I50"/>
    <mergeCell ref="B51:I51"/>
    <mergeCell ref="A1:A51"/>
    <mergeCell ref="H26:I26"/>
    <mergeCell ref="H27:H29"/>
    <mergeCell ref="I27:I29"/>
    <mergeCell ref="B30:I30"/>
    <mergeCell ref="H31:H32"/>
    <mergeCell ref="I31:I32"/>
    <mergeCell ref="B33:I33"/>
    <mergeCell ref="H34:H35"/>
    <mergeCell ref="I34:I35"/>
    <mergeCell ref="B36:I36"/>
    <mergeCell ref="H37:H38"/>
    <mergeCell ref="B13:I13"/>
    <mergeCell ref="H14:I14"/>
    <mergeCell ref="B15:I15"/>
    <mergeCell ref="H16:I16"/>
    <mergeCell ref="H17:H19"/>
    <mergeCell ref="I17:I19"/>
    <mergeCell ref="B1:I1"/>
    <mergeCell ref="H11:H12"/>
    <mergeCell ref="I11:I12"/>
    <mergeCell ref="B2:I2"/>
    <mergeCell ref="B3:I3"/>
    <mergeCell ref="B5:I5"/>
    <mergeCell ref="H6:I9"/>
    <mergeCell ref="B10:I10"/>
    <mergeCell ref="H21:I21"/>
    <mergeCell ref="H22:H24"/>
    <mergeCell ref="I22:I24"/>
    <mergeCell ref="H46:H47"/>
    <mergeCell ref="I46:I47"/>
    <mergeCell ref="I40:I41"/>
    <mergeCell ref="I37:I38"/>
    <mergeCell ref="B47:F47"/>
    <mergeCell ref="B25:I25"/>
    <mergeCell ref="B45:I45"/>
    <mergeCell ref="B41:F41"/>
    <mergeCell ref="B42:I42"/>
    <mergeCell ref="H43:H44"/>
    <mergeCell ref="I43:I44"/>
    <mergeCell ref="B44:F44"/>
    <mergeCell ref="B39:I39"/>
    <mergeCell ref="H40:H41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4D3F-0CDC-475C-80F0-47DE06432A83}">
  <dimension ref="A1:M51"/>
  <sheetViews>
    <sheetView topLeftCell="A22" workbookViewId="0">
      <selection activeCell="L39" sqref="L39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 t="s">
        <v>30</v>
      </c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 t="s">
        <v>86</v>
      </c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 t="s">
        <v>26</v>
      </c>
      <c r="C4" s="12" t="s">
        <v>22</v>
      </c>
      <c r="D4" s="23" t="s">
        <v>23</v>
      </c>
      <c r="E4" s="23" t="s">
        <v>29</v>
      </c>
      <c r="F4" s="23" t="s">
        <v>21</v>
      </c>
      <c r="G4" s="23" t="s">
        <v>40</v>
      </c>
      <c r="H4" s="23" t="s">
        <v>64</v>
      </c>
      <c r="I4" s="24" t="s">
        <v>35</v>
      </c>
    </row>
    <row r="5" spans="1:13" ht="15" customHeight="1" x14ac:dyDescent="0.25">
      <c r="A5" s="55"/>
      <c r="B5" s="58" t="s">
        <v>15</v>
      </c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 t="s">
        <v>13</v>
      </c>
      <c r="C6" s="3">
        <v>7675.74</v>
      </c>
      <c r="D6" s="3">
        <v>7688.33</v>
      </c>
      <c r="E6" s="3">
        <f>D6-C6</f>
        <v>12.590000000000146</v>
      </c>
      <c r="F6" s="3">
        <v>1200</v>
      </c>
      <c r="G6" s="19">
        <f>E6*F6</f>
        <v>15108.000000000175</v>
      </c>
      <c r="H6" s="61" t="s">
        <v>39</v>
      </c>
      <c r="I6" s="62"/>
    </row>
    <row r="7" spans="1:13" ht="15" customHeight="1" x14ac:dyDescent="0.25">
      <c r="A7" s="55"/>
      <c r="B7" s="7" t="s">
        <v>14</v>
      </c>
      <c r="C7" s="32">
        <v>7707.04</v>
      </c>
      <c r="D7" s="32">
        <v>7719.82</v>
      </c>
      <c r="E7" s="3">
        <f>D7-C7</f>
        <v>12.779999999999745</v>
      </c>
      <c r="F7" s="3">
        <v>1200</v>
      </c>
      <c r="G7" s="19">
        <f>E7*F7</f>
        <v>15335.999999999694</v>
      </c>
      <c r="H7" s="63"/>
      <c r="I7" s="64"/>
    </row>
    <row r="8" spans="1:13" ht="15" customHeight="1" x14ac:dyDescent="0.25">
      <c r="A8" s="55"/>
      <c r="B8" s="15" t="s">
        <v>31</v>
      </c>
      <c r="C8" s="17" t="s">
        <v>32</v>
      </c>
      <c r="D8" s="8">
        <f>G6</f>
        <v>15108.000000000175</v>
      </c>
      <c r="E8" s="18" t="s">
        <v>33</v>
      </c>
      <c r="F8" s="3">
        <f>G7</f>
        <v>15335.999999999694</v>
      </c>
      <c r="G8" s="20">
        <f>D8/F8</f>
        <v>0.98513302034431893</v>
      </c>
      <c r="H8" s="63"/>
      <c r="I8" s="64"/>
      <c r="M8" s="29"/>
    </row>
    <row r="9" spans="1:13" ht="15" customHeight="1" thickBot="1" x14ac:dyDescent="0.3">
      <c r="A9" s="55"/>
      <c r="B9" s="9" t="s">
        <v>12</v>
      </c>
      <c r="C9" s="10">
        <v>12.35</v>
      </c>
      <c r="D9" s="14">
        <v>12.35</v>
      </c>
      <c r="E9" s="14">
        <v>1.0680000000000001</v>
      </c>
      <c r="F9" s="14">
        <v>1200</v>
      </c>
      <c r="G9" s="21">
        <f>E9*F9</f>
        <v>1281.6000000000001</v>
      </c>
      <c r="H9" s="65"/>
      <c r="I9" s="66"/>
    </row>
    <row r="10" spans="1:13" ht="15" customHeight="1" x14ac:dyDescent="0.25">
      <c r="A10" s="55"/>
      <c r="B10" s="58" t="s">
        <v>24</v>
      </c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 t="s">
        <v>13</v>
      </c>
      <c r="C11" s="3">
        <v>1060.1099999999999</v>
      </c>
      <c r="D11" s="3">
        <v>1061.33</v>
      </c>
      <c r="E11" s="3">
        <f>D11-C11</f>
        <v>1.2200000000000273</v>
      </c>
      <c r="F11" s="3">
        <v>1000</v>
      </c>
      <c r="G11" s="19">
        <f>E11*F11</f>
        <v>1220.0000000000273</v>
      </c>
      <c r="H11" s="39" t="s">
        <v>87</v>
      </c>
      <c r="I11" s="67" t="s">
        <v>88</v>
      </c>
    </row>
    <row r="12" spans="1:13" ht="15" customHeight="1" thickBot="1" x14ac:dyDescent="0.3">
      <c r="A12" s="55"/>
      <c r="B12" s="9" t="s">
        <v>14</v>
      </c>
      <c r="C12" s="14">
        <v>1072.8800000000001</v>
      </c>
      <c r="D12" s="14">
        <v>1074.1099999999999</v>
      </c>
      <c r="E12" s="14">
        <f>D12-C12</f>
        <v>1.2299999999997908</v>
      </c>
      <c r="F12" s="14">
        <v>1000</v>
      </c>
      <c r="G12" s="21">
        <f>E12*F12</f>
        <v>1229.9999999997908</v>
      </c>
      <c r="H12" s="40"/>
      <c r="I12" s="68"/>
    </row>
    <row r="13" spans="1:13" ht="15" customHeight="1" x14ac:dyDescent="0.25">
      <c r="A13" s="55"/>
      <c r="B13" s="69" t="s">
        <v>34</v>
      </c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 t="s">
        <v>25</v>
      </c>
      <c r="C14" s="14">
        <v>441542.32900000003</v>
      </c>
      <c r="D14" s="14">
        <v>444428.19199999998</v>
      </c>
      <c r="E14" s="14">
        <f>D14-C14</f>
        <v>2885.8629999999539</v>
      </c>
      <c r="F14" s="14">
        <v>1</v>
      </c>
      <c r="G14" s="21">
        <f>E14*F14</f>
        <v>2885.8629999999539</v>
      </c>
      <c r="H14" s="72" t="s">
        <v>39</v>
      </c>
      <c r="I14" s="73"/>
    </row>
    <row r="15" spans="1:13" ht="15" customHeight="1" x14ac:dyDescent="0.25">
      <c r="A15" s="55"/>
      <c r="B15" s="58" t="s">
        <v>16</v>
      </c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 t="s">
        <v>13</v>
      </c>
      <c r="C16" s="3">
        <v>689006.2</v>
      </c>
      <c r="D16" s="3">
        <v>691545.3</v>
      </c>
      <c r="E16" s="3">
        <f>D16-C16</f>
        <v>2539.1000000000931</v>
      </c>
      <c r="F16" s="3">
        <v>1</v>
      </c>
      <c r="G16" s="19">
        <f>E16*F16</f>
        <v>2539.1000000000931</v>
      </c>
      <c r="H16" s="51" t="s">
        <v>43</v>
      </c>
      <c r="I16" s="52"/>
    </row>
    <row r="17" spans="1:9" ht="20.100000000000001" customHeight="1" x14ac:dyDescent="0.25">
      <c r="A17" s="55"/>
      <c r="B17" s="7" t="s">
        <v>14</v>
      </c>
      <c r="C17" s="3">
        <v>718663.5</v>
      </c>
      <c r="D17" s="3">
        <v>721228</v>
      </c>
      <c r="E17" s="3">
        <f>D17-C17</f>
        <v>2564.5</v>
      </c>
      <c r="F17" s="3">
        <v>1</v>
      </c>
      <c r="G17" s="19">
        <f>E17*F17</f>
        <v>2564.5</v>
      </c>
      <c r="H17" s="74" t="s">
        <v>66</v>
      </c>
      <c r="I17" s="52" t="s">
        <v>65</v>
      </c>
    </row>
    <row r="18" spans="1:9" ht="20.100000000000001" customHeight="1" x14ac:dyDescent="0.25">
      <c r="A18" s="55"/>
      <c r="B18" s="7" t="s">
        <v>27</v>
      </c>
      <c r="C18" s="3">
        <v>2205.13</v>
      </c>
      <c r="D18" s="3">
        <v>2211.35</v>
      </c>
      <c r="E18" s="3">
        <f>D18-C18</f>
        <v>6.2199999999997999</v>
      </c>
      <c r="F18" s="3">
        <v>1</v>
      </c>
      <c r="G18" s="19">
        <f>E18*F18</f>
        <v>6.2199999999997999</v>
      </c>
      <c r="H18" s="75"/>
      <c r="I18" s="52"/>
    </row>
    <row r="19" spans="1:9" ht="20.100000000000001" customHeight="1" thickBot="1" x14ac:dyDescent="0.3">
      <c r="A19" s="55"/>
      <c r="B19" s="9" t="s">
        <v>28</v>
      </c>
      <c r="C19" s="10">
        <v>800</v>
      </c>
      <c r="D19" s="14">
        <v>1170</v>
      </c>
      <c r="E19" s="14">
        <f>C19+D19</f>
        <v>1970</v>
      </c>
      <c r="F19" s="14">
        <v>1000</v>
      </c>
      <c r="G19" s="21">
        <f>E19-F19</f>
        <v>970</v>
      </c>
      <c r="H19" s="40"/>
      <c r="I19" s="54"/>
    </row>
    <row r="20" spans="1:9" ht="20.100000000000001" customHeight="1" x14ac:dyDescent="0.25">
      <c r="A20" s="55"/>
      <c r="B20" s="69" t="s">
        <v>75</v>
      </c>
      <c r="C20" s="70"/>
      <c r="D20" s="70"/>
      <c r="E20" s="70"/>
      <c r="F20" s="70"/>
      <c r="G20" s="70"/>
      <c r="H20" s="70"/>
      <c r="I20" s="71"/>
    </row>
    <row r="21" spans="1:9" ht="20.100000000000001" customHeight="1" x14ac:dyDescent="0.25">
      <c r="A21" s="55"/>
      <c r="B21" s="7" t="s">
        <v>13</v>
      </c>
      <c r="C21" s="8">
        <v>189849</v>
      </c>
      <c r="D21" s="8">
        <v>190554</v>
      </c>
      <c r="E21" s="8">
        <f>D21-C21</f>
        <v>705</v>
      </c>
      <c r="F21" s="8">
        <v>1</v>
      </c>
      <c r="G21" s="22">
        <f>E21*F21</f>
        <v>705</v>
      </c>
      <c r="H21" s="51" t="s">
        <v>46</v>
      </c>
      <c r="I21" s="52"/>
    </row>
    <row r="22" spans="1:9" ht="20.100000000000001" customHeight="1" x14ac:dyDescent="0.25">
      <c r="A22" s="55"/>
      <c r="B22" s="7" t="s">
        <v>14</v>
      </c>
      <c r="C22" s="8">
        <v>210701</v>
      </c>
      <c r="D22" s="8">
        <v>211415</v>
      </c>
      <c r="E22" s="8">
        <f>D22-C22</f>
        <v>714</v>
      </c>
      <c r="F22" s="8">
        <v>1</v>
      </c>
      <c r="G22" s="22">
        <f>E22*F22</f>
        <v>714</v>
      </c>
      <c r="H22" s="51" t="s">
        <v>74</v>
      </c>
      <c r="I22" s="52" t="s">
        <v>74</v>
      </c>
    </row>
    <row r="23" spans="1:9" ht="20.100000000000001" customHeight="1" x14ac:dyDescent="0.25">
      <c r="A23" s="55"/>
      <c r="B23" s="7" t="s">
        <v>27</v>
      </c>
      <c r="C23" s="8">
        <v>898.2</v>
      </c>
      <c r="D23" s="8">
        <v>899</v>
      </c>
      <c r="E23" s="8">
        <f>D23-C23</f>
        <v>0.79999999999995453</v>
      </c>
      <c r="F23" s="8">
        <v>1</v>
      </c>
      <c r="G23" s="22">
        <f>E23*F23</f>
        <v>0.79999999999995453</v>
      </c>
      <c r="H23" s="51"/>
      <c r="I23" s="52"/>
    </row>
    <row r="24" spans="1:9" ht="20.100000000000001" customHeight="1" thickBot="1" x14ac:dyDescent="0.3">
      <c r="A24" s="55"/>
      <c r="B24" s="9" t="s">
        <v>28</v>
      </c>
      <c r="C24" s="10">
        <v>600</v>
      </c>
      <c r="D24" s="10">
        <v>0</v>
      </c>
      <c r="E24" s="10">
        <f>C24+D24</f>
        <v>600</v>
      </c>
      <c r="F24" s="10">
        <v>500</v>
      </c>
      <c r="G24" s="31">
        <f>E24-F24</f>
        <v>100</v>
      </c>
      <c r="H24" s="53"/>
      <c r="I24" s="54"/>
    </row>
    <row r="25" spans="1:9" ht="15" customHeight="1" x14ac:dyDescent="0.25">
      <c r="A25" s="55"/>
      <c r="B25" s="69" t="s">
        <v>17</v>
      </c>
      <c r="C25" s="70"/>
      <c r="D25" s="70"/>
      <c r="E25" s="70"/>
      <c r="F25" s="70"/>
      <c r="G25" s="70"/>
      <c r="H25" s="70"/>
      <c r="I25" s="71"/>
    </row>
    <row r="26" spans="1:9" ht="15" customHeight="1" x14ac:dyDescent="0.25">
      <c r="A26" s="55"/>
      <c r="B26" s="7" t="s">
        <v>13</v>
      </c>
      <c r="C26" s="8">
        <v>79134.297000000006</v>
      </c>
      <c r="D26" s="8">
        <v>79886.588000000003</v>
      </c>
      <c r="E26" s="8">
        <f>D26-C26</f>
        <v>752.29099999999744</v>
      </c>
      <c r="F26" s="8">
        <v>1</v>
      </c>
      <c r="G26" s="22">
        <f>E26*F26</f>
        <v>752.29099999999744</v>
      </c>
      <c r="H26" s="51" t="s">
        <v>46</v>
      </c>
      <c r="I26" s="52"/>
    </row>
    <row r="27" spans="1:9" ht="15" customHeight="1" x14ac:dyDescent="0.25">
      <c r="A27" s="55"/>
      <c r="B27" s="7" t="s">
        <v>14</v>
      </c>
      <c r="C27" s="8">
        <v>87021.394</v>
      </c>
      <c r="D27" s="8">
        <v>87901.202000000005</v>
      </c>
      <c r="E27" s="8">
        <f>D27-C27</f>
        <v>879.80800000000454</v>
      </c>
      <c r="F27" s="8">
        <v>1</v>
      </c>
      <c r="G27" s="22">
        <f>E27*F27</f>
        <v>879.80800000000454</v>
      </c>
      <c r="H27" s="51" t="s">
        <v>45</v>
      </c>
      <c r="I27" s="52" t="s">
        <v>47</v>
      </c>
    </row>
    <row r="28" spans="1:9" ht="15" customHeight="1" x14ac:dyDescent="0.25">
      <c r="A28" s="55"/>
      <c r="B28" s="7" t="s">
        <v>27</v>
      </c>
      <c r="C28" s="8">
        <v>4629.6499999999996</v>
      </c>
      <c r="D28" s="8">
        <v>4634</v>
      </c>
      <c r="E28" s="8">
        <f>D28-C28</f>
        <v>4.3500000000003638</v>
      </c>
      <c r="F28" s="8">
        <v>1</v>
      </c>
      <c r="G28" s="22">
        <f>E28*F28</f>
        <v>4.3500000000003638</v>
      </c>
      <c r="H28" s="51"/>
      <c r="I28" s="52"/>
    </row>
    <row r="29" spans="1:9" ht="15" customHeight="1" thickBot="1" x14ac:dyDescent="0.3">
      <c r="A29" s="55"/>
      <c r="B29" s="9" t="s">
        <v>28</v>
      </c>
      <c r="C29" s="10">
        <v>300</v>
      </c>
      <c r="D29" s="10">
        <v>300</v>
      </c>
      <c r="E29" s="10">
        <f>C29+D29</f>
        <v>600</v>
      </c>
      <c r="F29" s="10">
        <v>280</v>
      </c>
      <c r="G29" s="31">
        <f>E29-F29</f>
        <v>320</v>
      </c>
      <c r="H29" s="53"/>
      <c r="I29" s="54"/>
    </row>
    <row r="30" spans="1:9" ht="15" customHeight="1" x14ac:dyDescent="0.25">
      <c r="A30" s="55"/>
      <c r="B30" s="46" t="s">
        <v>83</v>
      </c>
      <c r="C30" s="47"/>
      <c r="D30" s="47"/>
      <c r="E30" s="47"/>
      <c r="F30" s="47"/>
      <c r="G30" s="47"/>
      <c r="H30" s="47"/>
      <c r="I30" s="48"/>
    </row>
    <row r="31" spans="1:9" ht="15" customHeight="1" x14ac:dyDescent="0.25">
      <c r="A31" s="55"/>
      <c r="B31" s="30" t="s">
        <v>27</v>
      </c>
      <c r="C31" s="3">
        <v>44403</v>
      </c>
      <c r="D31" s="3">
        <v>44426</v>
      </c>
      <c r="E31" s="3">
        <f>D31-C31</f>
        <v>23</v>
      </c>
      <c r="F31" s="3">
        <v>1</v>
      </c>
      <c r="G31" s="3">
        <f>E31*F31</f>
        <v>23</v>
      </c>
      <c r="H31" s="49" t="s">
        <v>48</v>
      </c>
      <c r="I31" s="41" t="s">
        <v>49</v>
      </c>
    </row>
    <row r="32" spans="1:9" ht="15" customHeight="1" thickBot="1" x14ac:dyDescent="0.3">
      <c r="A32" s="55"/>
      <c r="B32" s="25" t="s">
        <v>56</v>
      </c>
      <c r="C32" s="16">
        <v>19450</v>
      </c>
      <c r="D32" s="16">
        <v>19459</v>
      </c>
      <c r="E32" s="16">
        <f>D32-C32</f>
        <v>9</v>
      </c>
      <c r="F32" s="16">
        <v>1</v>
      </c>
      <c r="G32" s="16">
        <f>E32*F32</f>
        <v>9</v>
      </c>
      <c r="H32" s="50"/>
      <c r="I32" s="42"/>
    </row>
    <row r="33" spans="1:9" ht="15" customHeight="1" x14ac:dyDescent="0.25">
      <c r="A33" s="55"/>
      <c r="B33" s="34" t="s">
        <v>82</v>
      </c>
      <c r="C33" s="35"/>
      <c r="D33" s="35"/>
      <c r="E33" s="35"/>
      <c r="F33" s="35"/>
      <c r="G33" s="35"/>
      <c r="H33" s="35"/>
      <c r="I33" s="36"/>
    </row>
    <row r="34" spans="1:9" ht="15" customHeight="1" x14ac:dyDescent="0.25">
      <c r="A34" s="55"/>
      <c r="B34" s="30" t="s">
        <v>27</v>
      </c>
      <c r="C34" s="3">
        <v>6472</v>
      </c>
      <c r="D34" s="3">
        <v>6494</v>
      </c>
      <c r="E34" s="3">
        <f>D34-C34</f>
        <v>22</v>
      </c>
      <c r="F34" s="3">
        <v>1</v>
      </c>
      <c r="G34" s="3">
        <f>E34*F34</f>
        <v>22</v>
      </c>
      <c r="H34" s="39" t="s">
        <v>79</v>
      </c>
      <c r="I34" s="41" t="s">
        <v>80</v>
      </c>
    </row>
    <row r="35" spans="1:9" ht="15" customHeight="1" thickBot="1" x14ac:dyDescent="0.3">
      <c r="A35" s="55"/>
      <c r="B35" s="25" t="s">
        <v>56</v>
      </c>
      <c r="C35" s="14">
        <v>5796</v>
      </c>
      <c r="D35" s="14">
        <v>5818</v>
      </c>
      <c r="E35" s="14">
        <f>D35-C35</f>
        <v>22</v>
      </c>
      <c r="F35" s="14">
        <v>1</v>
      </c>
      <c r="G35" s="14">
        <f>E35*F35</f>
        <v>22</v>
      </c>
      <c r="H35" s="40"/>
      <c r="I35" s="42"/>
    </row>
    <row r="36" spans="1:9" ht="15" customHeight="1" x14ac:dyDescent="0.25">
      <c r="A36" s="55"/>
      <c r="B36" s="34" t="s">
        <v>81</v>
      </c>
      <c r="C36" s="35"/>
      <c r="D36" s="35"/>
      <c r="E36" s="35"/>
      <c r="F36" s="35"/>
      <c r="G36" s="35"/>
      <c r="H36" s="35"/>
      <c r="I36" s="36"/>
    </row>
    <row r="37" spans="1:9" ht="15" customHeight="1" x14ac:dyDescent="0.25">
      <c r="A37" s="55"/>
      <c r="B37" s="30" t="s">
        <v>27</v>
      </c>
      <c r="C37" s="3">
        <v>19042</v>
      </c>
      <c r="D37" s="3">
        <v>19051</v>
      </c>
      <c r="E37" s="3">
        <f>D37-C37</f>
        <v>9</v>
      </c>
      <c r="F37" s="3">
        <v>1</v>
      </c>
      <c r="G37" s="3">
        <f>E37*F37</f>
        <v>9</v>
      </c>
      <c r="H37" s="49" t="s">
        <v>52</v>
      </c>
      <c r="I37" s="41" t="s">
        <v>53</v>
      </c>
    </row>
    <row r="38" spans="1:9" ht="15" customHeight="1" thickBot="1" x14ac:dyDescent="0.3">
      <c r="A38" s="55"/>
      <c r="B38" s="13" t="s">
        <v>56</v>
      </c>
      <c r="C38" s="14">
        <v>10716</v>
      </c>
      <c r="D38" s="14">
        <v>10720</v>
      </c>
      <c r="E38" s="14">
        <f>D38-C38</f>
        <v>4</v>
      </c>
      <c r="F38" s="14">
        <v>1</v>
      </c>
      <c r="G38" s="14">
        <f>E38*F38</f>
        <v>4</v>
      </c>
      <c r="H38" s="50"/>
      <c r="I38" s="42"/>
    </row>
    <row r="39" spans="1:9" ht="15" customHeight="1" x14ac:dyDescent="0.25">
      <c r="A39" s="55"/>
      <c r="B39" s="46" t="s">
        <v>36</v>
      </c>
      <c r="C39" s="47"/>
      <c r="D39" s="47"/>
      <c r="E39" s="47"/>
      <c r="F39" s="47"/>
      <c r="G39" s="47"/>
      <c r="H39" s="47"/>
      <c r="I39" s="48"/>
    </row>
    <row r="40" spans="1:9" ht="15" customHeight="1" x14ac:dyDescent="0.25">
      <c r="A40" s="55"/>
      <c r="B40" s="25" t="s">
        <v>27</v>
      </c>
      <c r="C40" s="26">
        <v>3758.2</v>
      </c>
      <c r="D40" s="26">
        <v>3758.4</v>
      </c>
      <c r="E40" s="26">
        <f>D40-C40</f>
        <v>0.20000000000027285</v>
      </c>
      <c r="F40" s="26">
        <v>1</v>
      </c>
      <c r="G40" s="26">
        <f>E40*F40</f>
        <v>0.20000000000027285</v>
      </c>
      <c r="H40" s="49" t="s">
        <v>54</v>
      </c>
      <c r="I40" s="41" t="s">
        <v>55</v>
      </c>
    </row>
    <row r="41" spans="1:9" ht="15" customHeight="1" thickBot="1" x14ac:dyDescent="0.3">
      <c r="A41" s="55"/>
      <c r="B41" s="43" t="s">
        <v>42</v>
      </c>
      <c r="C41" s="44"/>
      <c r="D41" s="44"/>
      <c r="E41" s="44"/>
      <c r="F41" s="45"/>
      <c r="G41" s="14">
        <v>50</v>
      </c>
      <c r="H41" s="50"/>
      <c r="I41" s="42"/>
    </row>
    <row r="42" spans="1:9" ht="15" customHeight="1" x14ac:dyDescent="0.25">
      <c r="A42" s="55"/>
      <c r="B42" s="34" t="s">
        <v>37</v>
      </c>
      <c r="C42" s="35"/>
      <c r="D42" s="35"/>
      <c r="E42" s="35"/>
      <c r="F42" s="35"/>
      <c r="G42" s="35"/>
      <c r="H42" s="35"/>
      <c r="I42" s="36"/>
    </row>
    <row r="43" spans="1:9" ht="15" customHeight="1" x14ac:dyDescent="0.25">
      <c r="A43" s="55"/>
      <c r="B43" s="25" t="s">
        <v>27</v>
      </c>
      <c r="C43" s="26">
        <v>15556</v>
      </c>
      <c r="D43" s="26">
        <v>15556</v>
      </c>
      <c r="E43" s="26">
        <f>D43-C43</f>
        <v>0</v>
      </c>
      <c r="F43" s="26">
        <v>1</v>
      </c>
      <c r="G43" s="26">
        <f>E43*F43</f>
        <v>0</v>
      </c>
      <c r="H43" s="39" t="s">
        <v>59</v>
      </c>
      <c r="I43" s="41" t="s">
        <v>60</v>
      </c>
    </row>
    <row r="44" spans="1:9" ht="15" customHeight="1" thickBot="1" x14ac:dyDescent="0.3">
      <c r="A44" s="55"/>
      <c r="B44" s="43" t="s">
        <v>42</v>
      </c>
      <c r="C44" s="44"/>
      <c r="D44" s="44"/>
      <c r="E44" s="44"/>
      <c r="F44" s="45"/>
      <c r="G44" s="14">
        <v>0</v>
      </c>
      <c r="H44" s="40"/>
      <c r="I44" s="42"/>
    </row>
    <row r="45" spans="1:9" ht="15" customHeight="1" x14ac:dyDescent="0.25">
      <c r="A45" s="55"/>
      <c r="B45" s="34" t="s">
        <v>38</v>
      </c>
      <c r="C45" s="35"/>
      <c r="D45" s="35"/>
      <c r="E45" s="35"/>
      <c r="F45" s="35"/>
      <c r="G45" s="35"/>
      <c r="H45" s="35"/>
      <c r="I45" s="36"/>
    </row>
    <row r="46" spans="1:9" ht="15" customHeight="1" x14ac:dyDescent="0.25">
      <c r="A46" s="55"/>
      <c r="B46" s="25" t="s">
        <v>27</v>
      </c>
      <c r="C46" s="26">
        <v>6845</v>
      </c>
      <c r="D46" s="26">
        <v>6851.2</v>
      </c>
      <c r="E46" s="26">
        <f>D46-C46</f>
        <v>6.1999999999998181</v>
      </c>
      <c r="F46" s="26">
        <v>1</v>
      </c>
      <c r="G46" s="26">
        <f>E46*F46</f>
        <v>6.1999999999998181</v>
      </c>
      <c r="H46" s="39" t="s">
        <v>57</v>
      </c>
      <c r="I46" s="41" t="s">
        <v>58</v>
      </c>
    </row>
    <row r="47" spans="1:9" ht="15" customHeight="1" thickBot="1" x14ac:dyDescent="0.3">
      <c r="A47" s="55"/>
      <c r="B47" s="43" t="s">
        <v>42</v>
      </c>
      <c r="C47" s="44"/>
      <c r="D47" s="44"/>
      <c r="E47" s="44"/>
      <c r="F47" s="45"/>
      <c r="G47" s="14">
        <v>0</v>
      </c>
      <c r="H47" s="40"/>
      <c r="I47" s="42"/>
    </row>
    <row r="48" spans="1:9" ht="15" customHeight="1" x14ac:dyDescent="0.25">
      <c r="A48" s="55"/>
      <c r="B48" s="34" t="s">
        <v>41</v>
      </c>
      <c r="C48" s="35"/>
      <c r="D48" s="35"/>
      <c r="E48" s="35"/>
      <c r="F48" s="35"/>
      <c r="G48" s="35"/>
      <c r="H48" s="35"/>
      <c r="I48" s="36"/>
    </row>
    <row r="49" spans="1:9" ht="27.75" customHeight="1" thickBot="1" x14ac:dyDescent="0.3">
      <c r="A49" s="55"/>
      <c r="B49" s="13" t="s">
        <v>27</v>
      </c>
      <c r="C49" s="27">
        <v>826</v>
      </c>
      <c r="D49" s="27">
        <v>829</v>
      </c>
      <c r="E49" s="27">
        <f>D49-C49</f>
        <v>3</v>
      </c>
      <c r="F49" s="27">
        <v>1</v>
      </c>
      <c r="G49" s="27">
        <f>E49*F49</f>
        <v>3</v>
      </c>
      <c r="H49" s="33" t="s">
        <v>63</v>
      </c>
      <c r="I49" s="28" t="s">
        <v>62</v>
      </c>
    </row>
    <row r="50" spans="1:9" ht="29.25" customHeight="1" x14ac:dyDescent="0.25">
      <c r="A50" s="55"/>
      <c r="B50" s="37" t="s">
        <v>84</v>
      </c>
      <c r="C50" s="37"/>
      <c r="D50" s="37"/>
      <c r="E50" s="37"/>
      <c r="F50" s="37"/>
      <c r="G50" s="37"/>
      <c r="H50" s="37"/>
      <c r="I50" s="37"/>
    </row>
    <row r="51" spans="1:9" ht="34.5" customHeight="1" x14ac:dyDescent="0.25">
      <c r="A51" s="55"/>
      <c r="B51" s="38"/>
      <c r="C51" s="38"/>
      <c r="D51" s="38"/>
      <c r="E51" s="38"/>
      <c r="F51" s="38"/>
      <c r="G51" s="38"/>
      <c r="H51" s="38"/>
      <c r="I51" s="38"/>
    </row>
  </sheetData>
  <mergeCells count="47">
    <mergeCell ref="B48:I48"/>
    <mergeCell ref="B50:I50"/>
    <mergeCell ref="B51:I51"/>
    <mergeCell ref="A1:A51"/>
    <mergeCell ref="H26:I26"/>
    <mergeCell ref="H27:H29"/>
    <mergeCell ref="I27:I29"/>
    <mergeCell ref="B30:I30"/>
    <mergeCell ref="H31:H32"/>
    <mergeCell ref="I31:I32"/>
    <mergeCell ref="B33:I33"/>
    <mergeCell ref="H34:H35"/>
    <mergeCell ref="I34:I35"/>
    <mergeCell ref="B36:I36"/>
    <mergeCell ref="H37:H38"/>
    <mergeCell ref="I37:I38"/>
    <mergeCell ref="H46:H47"/>
    <mergeCell ref="I46:I47"/>
    <mergeCell ref="B47:F47"/>
    <mergeCell ref="H21:I21"/>
    <mergeCell ref="H22:H24"/>
    <mergeCell ref="I22:I24"/>
    <mergeCell ref="B25:I25"/>
    <mergeCell ref="B39:I39"/>
    <mergeCell ref="H40:H41"/>
    <mergeCell ref="I40:I41"/>
    <mergeCell ref="B45:I45"/>
    <mergeCell ref="B41:F41"/>
    <mergeCell ref="B42:I42"/>
    <mergeCell ref="H43:H44"/>
    <mergeCell ref="I43:I44"/>
    <mergeCell ref="B44:F44"/>
    <mergeCell ref="B20:I20"/>
    <mergeCell ref="B1:I1"/>
    <mergeCell ref="B2:I2"/>
    <mergeCell ref="B3:I3"/>
    <mergeCell ref="B5:I5"/>
    <mergeCell ref="H6:I9"/>
    <mergeCell ref="B10:I10"/>
    <mergeCell ref="H11:H12"/>
    <mergeCell ref="I11:I12"/>
    <mergeCell ref="B13:I13"/>
    <mergeCell ref="H14:I14"/>
    <mergeCell ref="B15:I15"/>
    <mergeCell ref="H16:I16"/>
    <mergeCell ref="H17:H19"/>
    <mergeCell ref="I17:I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0D58-C0DF-4315-8150-BC7AD15463B4}">
  <dimension ref="A1:M56"/>
  <sheetViews>
    <sheetView tabSelected="1" workbookViewId="0">
      <selection activeCell="B2" sqref="B2:I2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 t="s">
        <v>30</v>
      </c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 t="s">
        <v>89</v>
      </c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 t="s">
        <v>26</v>
      </c>
      <c r="C4" s="12" t="s">
        <v>22</v>
      </c>
      <c r="D4" s="23" t="s">
        <v>23</v>
      </c>
      <c r="E4" s="23" t="s">
        <v>29</v>
      </c>
      <c r="F4" s="23" t="s">
        <v>21</v>
      </c>
      <c r="G4" s="23" t="s">
        <v>40</v>
      </c>
      <c r="H4" s="23" t="s">
        <v>64</v>
      </c>
      <c r="I4" s="24" t="s">
        <v>35</v>
      </c>
    </row>
    <row r="5" spans="1:13" ht="15" customHeight="1" x14ac:dyDescent="0.25">
      <c r="A5" s="55"/>
      <c r="B5" s="58" t="s">
        <v>15</v>
      </c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 t="s">
        <v>13</v>
      </c>
      <c r="C6" s="3">
        <v>7688.33</v>
      </c>
      <c r="D6" s="3">
        <v>7701.01</v>
      </c>
      <c r="E6" s="3">
        <f>D6-C6</f>
        <v>12.680000000000291</v>
      </c>
      <c r="F6" s="3">
        <v>1200</v>
      </c>
      <c r="G6" s="19">
        <f>E6*F6</f>
        <v>15216.000000000349</v>
      </c>
      <c r="H6" s="61" t="s">
        <v>39</v>
      </c>
      <c r="I6" s="62"/>
    </row>
    <row r="7" spans="1:13" ht="15" customHeight="1" x14ac:dyDescent="0.25">
      <c r="A7" s="55"/>
      <c r="B7" s="7" t="s">
        <v>14</v>
      </c>
      <c r="C7" s="32">
        <v>7719.82</v>
      </c>
      <c r="D7" s="32">
        <v>7732.54</v>
      </c>
      <c r="E7" s="3">
        <f>D7-C7</f>
        <v>12.720000000000255</v>
      </c>
      <c r="F7" s="3">
        <v>1200</v>
      </c>
      <c r="G7" s="19">
        <f>E7*F7</f>
        <v>15264.000000000306</v>
      </c>
      <c r="H7" s="63"/>
      <c r="I7" s="64"/>
    </row>
    <row r="8" spans="1:13" ht="15" customHeight="1" x14ac:dyDescent="0.25">
      <c r="A8" s="55"/>
      <c r="B8" s="15" t="s">
        <v>31</v>
      </c>
      <c r="C8" s="17" t="s">
        <v>32</v>
      </c>
      <c r="D8" s="8">
        <f>G6</f>
        <v>15216.000000000349</v>
      </c>
      <c r="E8" s="18" t="s">
        <v>33</v>
      </c>
      <c r="F8" s="3">
        <f>G7</f>
        <v>15264.000000000306</v>
      </c>
      <c r="G8" s="20">
        <f>D8/F8</f>
        <v>0.99685534591195257</v>
      </c>
      <c r="H8" s="63"/>
      <c r="I8" s="64"/>
      <c r="M8" s="29"/>
    </row>
    <row r="9" spans="1:13" ht="15" customHeight="1" thickBot="1" x14ac:dyDescent="0.3">
      <c r="A9" s="55"/>
      <c r="B9" s="9" t="s">
        <v>12</v>
      </c>
      <c r="C9" s="10">
        <v>12.35</v>
      </c>
      <c r="D9" s="14">
        <v>12.35</v>
      </c>
      <c r="E9" s="14">
        <v>1.0680000000000001</v>
      </c>
      <c r="F9" s="14">
        <v>1200</v>
      </c>
      <c r="G9" s="21">
        <f>E9*F9</f>
        <v>1281.6000000000001</v>
      </c>
      <c r="H9" s="65"/>
      <c r="I9" s="66"/>
    </row>
    <row r="10" spans="1:13" ht="15" customHeight="1" x14ac:dyDescent="0.25">
      <c r="A10" s="55"/>
      <c r="B10" s="58" t="s">
        <v>24</v>
      </c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 t="s">
        <v>13</v>
      </c>
      <c r="C11" s="3">
        <v>1061.33</v>
      </c>
      <c r="D11" s="3">
        <v>1062.25</v>
      </c>
      <c r="E11" s="3">
        <f>D11-C11</f>
        <v>0.92000000000007276</v>
      </c>
      <c r="F11" s="3">
        <v>1000</v>
      </c>
      <c r="G11" s="19">
        <f>E11*F11</f>
        <v>920.00000000007276</v>
      </c>
      <c r="H11" s="39" t="s">
        <v>87</v>
      </c>
      <c r="I11" s="67" t="s">
        <v>88</v>
      </c>
    </row>
    <row r="12" spans="1:13" ht="15" customHeight="1" thickBot="1" x14ac:dyDescent="0.3">
      <c r="A12" s="55"/>
      <c r="B12" s="9" t="s">
        <v>14</v>
      </c>
      <c r="C12" s="14">
        <v>1074.1099999999999</v>
      </c>
      <c r="D12" s="14">
        <v>1075.04</v>
      </c>
      <c r="E12" s="14">
        <f>D12-C12</f>
        <v>0.93000000000006366</v>
      </c>
      <c r="F12" s="14">
        <v>1000</v>
      </c>
      <c r="G12" s="21">
        <f>E12*F12</f>
        <v>930.00000000006366</v>
      </c>
      <c r="H12" s="40"/>
      <c r="I12" s="68"/>
    </row>
    <row r="13" spans="1:13" ht="15" customHeight="1" x14ac:dyDescent="0.25">
      <c r="A13" s="55"/>
      <c r="B13" s="69" t="s">
        <v>34</v>
      </c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 t="s">
        <v>25</v>
      </c>
      <c r="C14" s="14">
        <v>444428.19199999998</v>
      </c>
      <c r="D14" s="14">
        <v>447956.91800000001</v>
      </c>
      <c r="E14" s="14">
        <f>D14-C14</f>
        <v>3528.7260000000242</v>
      </c>
      <c r="F14" s="14">
        <v>1</v>
      </c>
      <c r="G14" s="21">
        <f>E14*F14</f>
        <v>3528.7260000000242</v>
      </c>
      <c r="H14" s="72" t="s">
        <v>39</v>
      </c>
      <c r="I14" s="73"/>
    </row>
    <row r="15" spans="1:13" ht="15" customHeight="1" x14ac:dyDescent="0.25">
      <c r="A15" s="55"/>
      <c r="B15" s="58" t="s">
        <v>16</v>
      </c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 t="s">
        <v>13</v>
      </c>
      <c r="C16" s="3">
        <v>691545.3</v>
      </c>
      <c r="D16" s="3">
        <v>694282.4</v>
      </c>
      <c r="E16" s="3">
        <f>D16-C16</f>
        <v>2737.0999999999767</v>
      </c>
      <c r="F16" s="3">
        <v>1</v>
      </c>
      <c r="G16" s="19">
        <f>E16*F16</f>
        <v>2737.0999999999767</v>
      </c>
      <c r="H16" s="51" t="s">
        <v>43</v>
      </c>
      <c r="I16" s="52"/>
    </row>
    <row r="17" spans="1:9" ht="20.100000000000001" customHeight="1" x14ac:dyDescent="0.25">
      <c r="A17" s="55"/>
      <c r="B17" s="7" t="s">
        <v>14</v>
      </c>
      <c r="C17" s="3">
        <v>721228</v>
      </c>
      <c r="D17" s="3">
        <v>724008.9</v>
      </c>
      <c r="E17" s="3">
        <f>D17-C17</f>
        <v>2780.9000000000233</v>
      </c>
      <c r="F17" s="3">
        <v>1</v>
      </c>
      <c r="G17" s="19">
        <f>E17*F17</f>
        <v>2780.9000000000233</v>
      </c>
      <c r="H17" s="74" t="s">
        <v>66</v>
      </c>
      <c r="I17" s="52" t="s">
        <v>65</v>
      </c>
    </row>
    <row r="18" spans="1:9" ht="20.100000000000001" customHeight="1" x14ac:dyDescent="0.25">
      <c r="A18" s="55"/>
      <c r="B18" s="7" t="s">
        <v>27</v>
      </c>
      <c r="C18" s="3">
        <v>2211.35</v>
      </c>
      <c r="D18" s="3">
        <v>2219.15</v>
      </c>
      <c r="E18" s="3">
        <f>D18-C18</f>
        <v>7.8000000000001819</v>
      </c>
      <c r="F18" s="3">
        <v>1</v>
      </c>
      <c r="G18" s="19">
        <f>E18*F18</f>
        <v>7.8000000000001819</v>
      </c>
      <c r="H18" s="75"/>
      <c r="I18" s="52"/>
    </row>
    <row r="19" spans="1:9" ht="20.100000000000001" customHeight="1" thickBot="1" x14ac:dyDescent="0.3">
      <c r="A19" s="55"/>
      <c r="B19" s="9" t="s">
        <v>28</v>
      </c>
      <c r="C19" s="10">
        <v>1000</v>
      </c>
      <c r="D19" s="14">
        <v>500</v>
      </c>
      <c r="E19" s="14">
        <f>C19+D19</f>
        <v>1500</v>
      </c>
      <c r="F19" s="14">
        <v>400</v>
      </c>
      <c r="G19" s="21">
        <f>E19-F19</f>
        <v>1100</v>
      </c>
      <c r="H19" s="40"/>
      <c r="I19" s="54"/>
    </row>
    <row r="20" spans="1:9" ht="20.100000000000001" customHeight="1" x14ac:dyDescent="0.25">
      <c r="A20" s="55"/>
      <c r="B20" s="69" t="s">
        <v>90</v>
      </c>
      <c r="C20" s="70"/>
      <c r="D20" s="70"/>
      <c r="E20" s="70"/>
      <c r="F20" s="70"/>
      <c r="G20" s="70"/>
      <c r="H20" s="70"/>
      <c r="I20" s="71"/>
    </row>
    <row r="21" spans="1:9" ht="20.100000000000001" customHeight="1" x14ac:dyDescent="0.25">
      <c r="A21" s="55"/>
      <c r="B21" s="7" t="s">
        <v>13</v>
      </c>
      <c r="C21" s="8">
        <v>190554</v>
      </c>
      <c r="D21" s="8">
        <v>193255</v>
      </c>
      <c r="E21" s="8">
        <f>D21-C21</f>
        <v>2701</v>
      </c>
      <c r="F21" s="8">
        <v>1</v>
      </c>
      <c r="G21" s="22">
        <f>E21*F21</f>
        <v>2701</v>
      </c>
      <c r="H21" s="51" t="s">
        <v>46</v>
      </c>
      <c r="I21" s="52"/>
    </row>
    <row r="22" spans="1:9" ht="20.100000000000001" customHeight="1" x14ac:dyDescent="0.25">
      <c r="A22" s="55"/>
      <c r="B22" s="7" t="s">
        <v>14</v>
      </c>
      <c r="C22" s="8">
        <v>211415</v>
      </c>
      <c r="D22" s="8">
        <v>214284</v>
      </c>
      <c r="E22" s="8">
        <f>D22-C22</f>
        <v>2869</v>
      </c>
      <c r="F22" s="8">
        <v>1</v>
      </c>
      <c r="G22" s="22">
        <f>E22*F22</f>
        <v>2869</v>
      </c>
      <c r="H22" s="51" t="s">
        <v>74</v>
      </c>
      <c r="I22" s="52" t="s">
        <v>74</v>
      </c>
    </row>
    <row r="23" spans="1:9" ht="20.100000000000001" customHeight="1" x14ac:dyDescent="0.25">
      <c r="A23" s="55"/>
      <c r="B23" s="7" t="s">
        <v>27</v>
      </c>
      <c r="C23" s="8">
        <v>899</v>
      </c>
      <c r="D23" s="8">
        <v>904.9</v>
      </c>
      <c r="E23" s="8">
        <f>D23-C23</f>
        <v>5.8999999999999773</v>
      </c>
      <c r="F23" s="8">
        <v>1</v>
      </c>
      <c r="G23" s="22">
        <f>E23*F23</f>
        <v>5.8999999999999773</v>
      </c>
      <c r="H23" s="51"/>
      <c r="I23" s="52"/>
    </row>
    <row r="24" spans="1:9" ht="20.100000000000001" customHeight="1" thickBot="1" x14ac:dyDescent="0.3">
      <c r="A24" s="55"/>
      <c r="B24" s="9" t="s">
        <v>28</v>
      </c>
      <c r="C24" s="10">
        <v>500</v>
      </c>
      <c r="D24" s="10">
        <v>300</v>
      </c>
      <c r="E24" s="10">
        <f>C24+D24</f>
        <v>800</v>
      </c>
      <c r="F24" s="10">
        <v>250</v>
      </c>
      <c r="G24" s="31">
        <f>E24-F24</f>
        <v>550</v>
      </c>
      <c r="H24" s="53"/>
      <c r="I24" s="54"/>
    </row>
    <row r="25" spans="1:9" ht="20.100000000000001" customHeight="1" x14ac:dyDescent="0.25">
      <c r="A25" s="55"/>
      <c r="B25" s="69" t="s">
        <v>91</v>
      </c>
      <c r="C25" s="70"/>
      <c r="D25" s="70"/>
      <c r="E25" s="70"/>
      <c r="F25" s="70"/>
      <c r="G25" s="70"/>
      <c r="H25" s="70"/>
      <c r="I25" s="71"/>
    </row>
    <row r="26" spans="1:9" ht="20.100000000000001" customHeight="1" x14ac:dyDescent="0.25">
      <c r="A26" s="55"/>
      <c r="B26" s="7" t="s">
        <v>13</v>
      </c>
      <c r="C26" s="8">
        <v>79886.588000000003</v>
      </c>
      <c r="D26" s="8">
        <v>79976.588000000003</v>
      </c>
      <c r="E26" s="8">
        <f>D26-C26</f>
        <v>90</v>
      </c>
      <c r="F26" s="8">
        <v>1</v>
      </c>
      <c r="G26" s="22">
        <f>E26*F26</f>
        <v>90</v>
      </c>
      <c r="H26" s="51" t="s">
        <v>46</v>
      </c>
      <c r="I26" s="52"/>
    </row>
    <row r="27" spans="1:9" ht="20.100000000000001" customHeight="1" x14ac:dyDescent="0.25">
      <c r="A27" s="55"/>
      <c r="B27" s="7" t="s">
        <v>14</v>
      </c>
      <c r="C27" s="8">
        <v>87901.202000000005</v>
      </c>
      <c r="D27" s="8">
        <v>88001.131999999998</v>
      </c>
      <c r="E27" s="8">
        <f>D27-C27</f>
        <v>99.929999999993015</v>
      </c>
      <c r="F27" s="8">
        <v>1</v>
      </c>
      <c r="G27" s="22">
        <f>E27*F27</f>
        <v>99.929999999993015</v>
      </c>
      <c r="H27" s="51" t="s">
        <v>74</v>
      </c>
      <c r="I27" s="52" t="s">
        <v>92</v>
      </c>
    </row>
    <row r="28" spans="1:9" ht="20.100000000000001" customHeight="1" x14ac:dyDescent="0.25">
      <c r="A28" s="55"/>
      <c r="B28" s="7" t="s">
        <v>27</v>
      </c>
      <c r="C28" s="8">
        <v>1134</v>
      </c>
      <c r="D28" s="8">
        <v>1134.5899999999999</v>
      </c>
      <c r="E28" s="8">
        <f>D28-C28</f>
        <v>0.58999999999991815</v>
      </c>
      <c r="F28" s="8">
        <v>1</v>
      </c>
      <c r="G28" s="22">
        <f>E28*F28</f>
        <v>0.58999999999991815</v>
      </c>
      <c r="H28" s="51"/>
      <c r="I28" s="52"/>
    </row>
    <row r="29" spans="1:9" ht="20.100000000000001" customHeight="1" thickBot="1" x14ac:dyDescent="0.3">
      <c r="A29" s="55"/>
      <c r="B29" s="9" t="s">
        <v>28</v>
      </c>
      <c r="C29" s="10">
        <v>400</v>
      </c>
      <c r="D29" s="10">
        <v>0</v>
      </c>
      <c r="E29" s="10">
        <f>C29+D29</f>
        <v>400</v>
      </c>
      <c r="F29" s="10">
        <v>350</v>
      </c>
      <c r="G29" s="31">
        <f>E29-F29</f>
        <v>50</v>
      </c>
      <c r="H29" s="53"/>
      <c r="I29" s="54"/>
    </row>
    <row r="30" spans="1:9" ht="15" customHeight="1" x14ac:dyDescent="0.25">
      <c r="A30" s="55"/>
      <c r="B30" s="69" t="s">
        <v>17</v>
      </c>
      <c r="C30" s="70"/>
      <c r="D30" s="70"/>
      <c r="E30" s="70"/>
      <c r="F30" s="70"/>
      <c r="G30" s="70"/>
      <c r="H30" s="70"/>
      <c r="I30" s="71"/>
    </row>
    <row r="31" spans="1:9" ht="15" customHeight="1" x14ac:dyDescent="0.25">
      <c r="A31" s="55"/>
      <c r="B31" s="7" t="s">
        <v>13</v>
      </c>
      <c r="C31" s="8">
        <v>79976.588000000003</v>
      </c>
      <c r="D31" s="8">
        <v>80215.160999999993</v>
      </c>
      <c r="E31" s="8">
        <f>D31-C31</f>
        <v>238.57299999998941</v>
      </c>
      <c r="F31" s="8">
        <v>1</v>
      </c>
      <c r="G31" s="22">
        <f>E31*F31</f>
        <v>238.57299999998941</v>
      </c>
      <c r="H31" s="51" t="s">
        <v>46</v>
      </c>
      <c r="I31" s="52"/>
    </row>
    <row r="32" spans="1:9" ht="15" customHeight="1" x14ac:dyDescent="0.25">
      <c r="A32" s="55"/>
      <c r="B32" s="7" t="s">
        <v>14</v>
      </c>
      <c r="C32" s="8">
        <v>88001.131999999998</v>
      </c>
      <c r="D32" s="8">
        <v>88260.732000000004</v>
      </c>
      <c r="E32" s="8">
        <f>D32-C32</f>
        <v>259.60000000000582</v>
      </c>
      <c r="F32" s="8">
        <v>1</v>
      </c>
      <c r="G32" s="22">
        <f>E32*F32</f>
        <v>259.60000000000582</v>
      </c>
      <c r="H32" s="51" t="s">
        <v>45</v>
      </c>
      <c r="I32" s="52" t="s">
        <v>47</v>
      </c>
    </row>
    <row r="33" spans="1:9" ht="15" customHeight="1" x14ac:dyDescent="0.25">
      <c r="A33" s="55"/>
      <c r="B33" s="7" t="s">
        <v>27</v>
      </c>
      <c r="C33" s="8">
        <v>4634</v>
      </c>
      <c r="D33" s="8">
        <v>4635.25</v>
      </c>
      <c r="E33" s="8">
        <f>D33-C33</f>
        <v>1.25</v>
      </c>
      <c r="F33" s="8">
        <v>1</v>
      </c>
      <c r="G33" s="22">
        <f>E33*F33</f>
        <v>1.25</v>
      </c>
      <c r="H33" s="51"/>
      <c r="I33" s="52"/>
    </row>
    <row r="34" spans="1:9" ht="15" customHeight="1" thickBot="1" x14ac:dyDescent="0.3">
      <c r="A34" s="55"/>
      <c r="B34" s="9" t="s">
        <v>28</v>
      </c>
      <c r="C34" s="10">
        <v>280</v>
      </c>
      <c r="D34" s="10">
        <v>0</v>
      </c>
      <c r="E34" s="10">
        <f>C34+D34</f>
        <v>280</v>
      </c>
      <c r="F34" s="10">
        <v>200</v>
      </c>
      <c r="G34" s="31">
        <f>E34-F34</f>
        <v>80</v>
      </c>
      <c r="H34" s="53"/>
      <c r="I34" s="54"/>
    </row>
    <row r="35" spans="1:9" ht="15" customHeight="1" x14ac:dyDescent="0.25">
      <c r="A35" s="55"/>
      <c r="B35" s="46" t="s">
        <v>83</v>
      </c>
      <c r="C35" s="47"/>
      <c r="D35" s="47"/>
      <c r="E35" s="47"/>
      <c r="F35" s="47"/>
      <c r="G35" s="47"/>
      <c r="H35" s="47"/>
      <c r="I35" s="48"/>
    </row>
    <row r="36" spans="1:9" ht="15" customHeight="1" x14ac:dyDescent="0.25">
      <c r="A36" s="55"/>
      <c r="B36" s="30" t="s">
        <v>27</v>
      </c>
      <c r="C36" s="3">
        <v>44426</v>
      </c>
      <c r="D36" s="3">
        <v>44450</v>
      </c>
      <c r="E36" s="3">
        <f>D36-C36</f>
        <v>24</v>
      </c>
      <c r="F36" s="3">
        <v>1</v>
      </c>
      <c r="G36" s="3">
        <f>E36*F36</f>
        <v>24</v>
      </c>
      <c r="H36" s="49" t="s">
        <v>48</v>
      </c>
      <c r="I36" s="41" t="s">
        <v>49</v>
      </c>
    </row>
    <row r="37" spans="1:9" ht="15" customHeight="1" thickBot="1" x14ac:dyDescent="0.3">
      <c r="A37" s="55"/>
      <c r="B37" s="25" t="s">
        <v>56</v>
      </c>
      <c r="C37" s="16">
        <v>19459</v>
      </c>
      <c r="D37" s="16">
        <v>19469</v>
      </c>
      <c r="E37" s="16">
        <f>D37-C37</f>
        <v>10</v>
      </c>
      <c r="F37" s="16">
        <v>1</v>
      </c>
      <c r="G37" s="16">
        <f>E37*F37</f>
        <v>10</v>
      </c>
      <c r="H37" s="50"/>
      <c r="I37" s="42"/>
    </row>
    <row r="38" spans="1:9" ht="15" customHeight="1" x14ac:dyDescent="0.25">
      <c r="A38" s="55"/>
      <c r="B38" s="34" t="s">
        <v>82</v>
      </c>
      <c r="C38" s="35"/>
      <c r="D38" s="35"/>
      <c r="E38" s="35"/>
      <c r="F38" s="35"/>
      <c r="G38" s="35"/>
      <c r="H38" s="35"/>
      <c r="I38" s="36"/>
    </row>
    <row r="39" spans="1:9" ht="15" customHeight="1" x14ac:dyDescent="0.25">
      <c r="A39" s="55"/>
      <c r="B39" s="30" t="s">
        <v>27</v>
      </c>
      <c r="C39" s="3">
        <v>6494</v>
      </c>
      <c r="D39" s="3">
        <v>6514</v>
      </c>
      <c r="E39" s="3">
        <f>D39-C39</f>
        <v>20</v>
      </c>
      <c r="F39" s="3">
        <v>1</v>
      </c>
      <c r="G39" s="3">
        <f>E39*F39</f>
        <v>20</v>
      </c>
      <c r="H39" s="39" t="s">
        <v>79</v>
      </c>
      <c r="I39" s="41" t="s">
        <v>80</v>
      </c>
    </row>
    <row r="40" spans="1:9" ht="15" customHeight="1" thickBot="1" x14ac:dyDescent="0.3">
      <c r="A40" s="55"/>
      <c r="B40" s="25" t="s">
        <v>56</v>
      </c>
      <c r="C40" s="14">
        <v>5818</v>
      </c>
      <c r="D40" s="14">
        <v>5835</v>
      </c>
      <c r="E40" s="14">
        <f>D40-C40</f>
        <v>17</v>
      </c>
      <c r="F40" s="14">
        <v>1</v>
      </c>
      <c r="G40" s="14">
        <f>E40*F40</f>
        <v>17</v>
      </c>
      <c r="H40" s="40"/>
      <c r="I40" s="42"/>
    </row>
    <row r="41" spans="1:9" ht="15" customHeight="1" x14ac:dyDescent="0.25">
      <c r="A41" s="55"/>
      <c r="B41" s="34" t="s">
        <v>81</v>
      </c>
      <c r="C41" s="35"/>
      <c r="D41" s="35"/>
      <c r="E41" s="35"/>
      <c r="F41" s="35"/>
      <c r="G41" s="35"/>
      <c r="H41" s="35"/>
      <c r="I41" s="36"/>
    </row>
    <row r="42" spans="1:9" ht="15" customHeight="1" x14ac:dyDescent="0.25">
      <c r="A42" s="55"/>
      <c r="B42" s="30" t="s">
        <v>27</v>
      </c>
      <c r="C42" s="3">
        <v>19051</v>
      </c>
      <c r="D42" s="3">
        <v>19063</v>
      </c>
      <c r="E42" s="3">
        <f>D42-C42</f>
        <v>12</v>
      </c>
      <c r="F42" s="3">
        <v>1</v>
      </c>
      <c r="G42" s="3">
        <f>E42*F42</f>
        <v>12</v>
      </c>
      <c r="H42" s="49" t="s">
        <v>52</v>
      </c>
      <c r="I42" s="41" t="s">
        <v>53</v>
      </c>
    </row>
    <row r="43" spans="1:9" ht="15" customHeight="1" thickBot="1" x14ac:dyDescent="0.3">
      <c r="A43" s="55"/>
      <c r="B43" s="13" t="s">
        <v>56</v>
      </c>
      <c r="C43" s="14">
        <v>10720</v>
      </c>
      <c r="D43" s="14">
        <v>10728</v>
      </c>
      <c r="E43" s="14">
        <f>D43-C43</f>
        <v>8</v>
      </c>
      <c r="F43" s="14">
        <v>1</v>
      </c>
      <c r="G43" s="14">
        <f>E43*F43</f>
        <v>8</v>
      </c>
      <c r="H43" s="50"/>
      <c r="I43" s="42"/>
    </row>
    <row r="44" spans="1:9" ht="15" customHeight="1" x14ac:dyDescent="0.25">
      <c r="A44" s="55"/>
      <c r="B44" s="46" t="s">
        <v>36</v>
      </c>
      <c r="C44" s="47"/>
      <c r="D44" s="47"/>
      <c r="E44" s="47"/>
      <c r="F44" s="47"/>
      <c r="G44" s="47"/>
      <c r="H44" s="47"/>
      <c r="I44" s="48"/>
    </row>
    <row r="45" spans="1:9" ht="15" customHeight="1" x14ac:dyDescent="0.25">
      <c r="A45" s="55"/>
      <c r="B45" s="25" t="s">
        <v>27</v>
      </c>
      <c r="C45" s="26">
        <v>3758.4</v>
      </c>
      <c r="D45" s="26">
        <v>3758.4</v>
      </c>
      <c r="E45" s="26">
        <f>D45-C45</f>
        <v>0</v>
      </c>
      <c r="F45" s="26">
        <v>1</v>
      </c>
      <c r="G45" s="26">
        <f>E45*F45</f>
        <v>0</v>
      </c>
      <c r="H45" s="49" t="s">
        <v>54</v>
      </c>
      <c r="I45" s="41" t="s">
        <v>55</v>
      </c>
    </row>
    <row r="46" spans="1:9" ht="15" customHeight="1" thickBot="1" x14ac:dyDescent="0.3">
      <c r="A46" s="55"/>
      <c r="B46" s="43" t="s">
        <v>42</v>
      </c>
      <c r="C46" s="44"/>
      <c r="D46" s="44"/>
      <c r="E46" s="44"/>
      <c r="F46" s="45"/>
      <c r="G46" s="14">
        <v>0</v>
      </c>
      <c r="H46" s="50"/>
      <c r="I46" s="42"/>
    </row>
    <row r="47" spans="1:9" ht="15" customHeight="1" x14ac:dyDescent="0.25">
      <c r="A47" s="55"/>
      <c r="B47" s="34" t="s">
        <v>37</v>
      </c>
      <c r="C47" s="35"/>
      <c r="D47" s="35"/>
      <c r="E47" s="35"/>
      <c r="F47" s="35"/>
      <c r="G47" s="35"/>
      <c r="H47" s="35"/>
      <c r="I47" s="36"/>
    </row>
    <row r="48" spans="1:9" ht="15" customHeight="1" x14ac:dyDescent="0.25">
      <c r="A48" s="55"/>
      <c r="B48" s="25" t="s">
        <v>27</v>
      </c>
      <c r="C48" s="26">
        <v>15556</v>
      </c>
      <c r="D48" s="26">
        <v>15556</v>
      </c>
      <c r="E48" s="26">
        <f>D48-C48</f>
        <v>0</v>
      </c>
      <c r="F48" s="26">
        <v>1</v>
      </c>
      <c r="G48" s="26">
        <f>E48*F48</f>
        <v>0</v>
      </c>
      <c r="H48" s="39" t="s">
        <v>59</v>
      </c>
      <c r="I48" s="41" t="s">
        <v>60</v>
      </c>
    </row>
    <row r="49" spans="1:9" ht="15" customHeight="1" thickBot="1" x14ac:dyDescent="0.3">
      <c r="A49" s="55"/>
      <c r="B49" s="43" t="s">
        <v>42</v>
      </c>
      <c r="C49" s="44"/>
      <c r="D49" s="44"/>
      <c r="E49" s="44"/>
      <c r="F49" s="45"/>
      <c r="G49" s="14">
        <v>0</v>
      </c>
      <c r="H49" s="40"/>
      <c r="I49" s="42"/>
    </row>
    <row r="50" spans="1:9" ht="15" customHeight="1" x14ac:dyDescent="0.25">
      <c r="A50" s="55"/>
      <c r="B50" s="34" t="s">
        <v>38</v>
      </c>
      <c r="C50" s="35"/>
      <c r="D50" s="35"/>
      <c r="E50" s="35"/>
      <c r="F50" s="35"/>
      <c r="G50" s="35"/>
      <c r="H50" s="35"/>
      <c r="I50" s="36"/>
    </row>
    <row r="51" spans="1:9" ht="15" customHeight="1" x14ac:dyDescent="0.25">
      <c r="A51" s="55"/>
      <c r="B51" s="25" t="s">
        <v>27</v>
      </c>
      <c r="C51" s="26">
        <v>6851.2</v>
      </c>
      <c r="D51" s="26">
        <v>6858</v>
      </c>
      <c r="E51" s="26">
        <f>D51-C51</f>
        <v>6.8000000000001819</v>
      </c>
      <c r="F51" s="26">
        <v>1</v>
      </c>
      <c r="G51" s="26">
        <f>E51*F51</f>
        <v>6.8000000000001819</v>
      </c>
      <c r="H51" s="39" t="s">
        <v>57</v>
      </c>
      <c r="I51" s="41" t="s">
        <v>58</v>
      </c>
    </row>
    <row r="52" spans="1:9" ht="15" customHeight="1" thickBot="1" x14ac:dyDescent="0.3">
      <c r="A52" s="55"/>
      <c r="B52" s="43" t="s">
        <v>42</v>
      </c>
      <c r="C52" s="44"/>
      <c r="D52" s="44"/>
      <c r="E52" s="44"/>
      <c r="F52" s="45"/>
      <c r="G52" s="14">
        <v>0</v>
      </c>
      <c r="H52" s="40"/>
      <c r="I52" s="42"/>
    </row>
    <row r="53" spans="1:9" ht="15" customHeight="1" x14ac:dyDescent="0.25">
      <c r="A53" s="55"/>
      <c r="B53" s="34" t="s">
        <v>41</v>
      </c>
      <c r="C53" s="35"/>
      <c r="D53" s="35"/>
      <c r="E53" s="35"/>
      <c r="F53" s="35"/>
      <c r="G53" s="35"/>
      <c r="H53" s="35"/>
      <c r="I53" s="36"/>
    </row>
    <row r="54" spans="1:9" ht="27.75" customHeight="1" thickBot="1" x14ac:dyDescent="0.3">
      <c r="A54" s="55"/>
      <c r="B54" s="13" t="s">
        <v>27</v>
      </c>
      <c r="C54" s="27">
        <v>829</v>
      </c>
      <c r="D54" s="27">
        <v>831</v>
      </c>
      <c r="E54" s="27">
        <f>D54-C54</f>
        <v>2</v>
      </c>
      <c r="F54" s="27">
        <v>1</v>
      </c>
      <c r="G54" s="27">
        <f>E54*F54</f>
        <v>2</v>
      </c>
      <c r="H54" s="33" t="s">
        <v>63</v>
      </c>
      <c r="I54" s="28" t="s">
        <v>62</v>
      </c>
    </row>
    <row r="55" spans="1:9" ht="29.25" customHeight="1" x14ac:dyDescent="0.25">
      <c r="A55" s="55"/>
      <c r="B55" s="37" t="s">
        <v>84</v>
      </c>
      <c r="C55" s="37"/>
      <c r="D55" s="37"/>
      <c r="E55" s="37"/>
      <c r="F55" s="37"/>
      <c r="G55" s="37"/>
      <c r="H55" s="37"/>
      <c r="I55" s="37"/>
    </row>
    <row r="56" spans="1:9" ht="34.5" customHeight="1" x14ac:dyDescent="0.25">
      <c r="A56" s="55"/>
      <c r="B56" s="38"/>
      <c r="C56" s="38"/>
      <c r="D56" s="38"/>
      <c r="E56" s="38"/>
      <c r="F56" s="38"/>
      <c r="G56" s="38"/>
      <c r="H56" s="38"/>
      <c r="I56" s="38"/>
    </row>
  </sheetData>
  <mergeCells count="51">
    <mergeCell ref="B56:I56"/>
    <mergeCell ref="A1:A56"/>
    <mergeCell ref="H31:I31"/>
    <mergeCell ref="H32:H34"/>
    <mergeCell ref="I32:I34"/>
    <mergeCell ref="B35:I35"/>
    <mergeCell ref="H36:H37"/>
    <mergeCell ref="I36:I37"/>
    <mergeCell ref="B38:I38"/>
    <mergeCell ref="H39:H40"/>
    <mergeCell ref="I39:I40"/>
    <mergeCell ref="B41:I41"/>
    <mergeCell ref="H42:H43"/>
    <mergeCell ref="I42:I43"/>
    <mergeCell ref="B47:I47"/>
    <mergeCell ref="B53:I53"/>
    <mergeCell ref="H51:H52"/>
    <mergeCell ref="I51:I52"/>
    <mergeCell ref="B52:F52"/>
    <mergeCell ref="B55:I55"/>
    <mergeCell ref="H21:I21"/>
    <mergeCell ref="H22:H24"/>
    <mergeCell ref="I22:I24"/>
    <mergeCell ref="B30:I30"/>
    <mergeCell ref="B25:I25"/>
    <mergeCell ref="H26:I26"/>
    <mergeCell ref="H27:H29"/>
    <mergeCell ref="I27:I29"/>
    <mergeCell ref="B44:I44"/>
    <mergeCell ref="H45:H46"/>
    <mergeCell ref="I45:I46"/>
    <mergeCell ref="B50:I50"/>
    <mergeCell ref="B46:F46"/>
    <mergeCell ref="H48:H49"/>
    <mergeCell ref="I48:I49"/>
    <mergeCell ref="B49:F49"/>
    <mergeCell ref="B20:I20"/>
    <mergeCell ref="B1:I1"/>
    <mergeCell ref="B2:I2"/>
    <mergeCell ref="B3:I3"/>
    <mergeCell ref="B5:I5"/>
    <mergeCell ref="H6:I9"/>
    <mergeCell ref="B10:I10"/>
    <mergeCell ref="H11:H12"/>
    <mergeCell ref="I11:I12"/>
    <mergeCell ref="B13:I13"/>
    <mergeCell ref="H14:I14"/>
    <mergeCell ref="B15:I15"/>
    <mergeCell ref="H16:I16"/>
    <mergeCell ref="H17:H19"/>
    <mergeCell ref="I17:I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5572-FA3C-4718-BF16-4DC64F66FEA3}">
  <dimension ref="A1:M56"/>
  <sheetViews>
    <sheetView workbookViewId="0">
      <selection activeCell="E7" sqref="E7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 t="s">
        <v>30</v>
      </c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 t="s">
        <v>93</v>
      </c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 t="s">
        <v>26</v>
      </c>
      <c r="C4" s="12" t="s">
        <v>22</v>
      </c>
      <c r="D4" s="23" t="s">
        <v>23</v>
      </c>
      <c r="E4" s="23" t="s">
        <v>29</v>
      </c>
      <c r="F4" s="23" t="s">
        <v>21</v>
      </c>
      <c r="G4" s="23" t="s">
        <v>40</v>
      </c>
      <c r="H4" s="23" t="s">
        <v>64</v>
      </c>
      <c r="I4" s="24" t="s">
        <v>35</v>
      </c>
    </row>
    <row r="5" spans="1:13" ht="15" customHeight="1" x14ac:dyDescent="0.25">
      <c r="A5" s="55"/>
      <c r="B5" s="58" t="s">
        <v>15</v>
      </c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 t="s">
        <v>13</v>
      </c>
      <c r="C6" s="3">
        <v>7701.01</v>
      </c>
      <c r="D6" s="3">
        <v>7714.46</v>
      </c>
      <c r="E6" s="3">
        <f>D6-C6</f>
        <v>13.449999999999818</v>
      </c>
      <c r="F6" s="3">
        <v>1200</v>
      </c>
      <c r="G6" s="19">
        <f>E6*F6</f>
        <v>16139.999999999782</v>
      </c>
      <c r="H6" s="61" t="s">
        <v>39</v>
      </c>
      <c r="I6" s="62"/>
    </row>
    <row r="7" spans="1:13" ht="15" customHeight="1" x14ac:dyDescent="0.25">
      <c r="A7" s="55"/>
      <c r="B7" s="7" t="s">
        <v>14</v>
      </c>
      <c r="C7" s="32">
        <v>7732.54</v>
      </c>
      <c r="D7" s="32">
        <v>7746.04</v>
      </c>
      <c r="E7" s="3">
        <f>D7-C7</f>
        <v>13.5</v>
      </c>
      <c r="F7" s="3">
        <v>1200</v>
      </c>
      <c r="G7" s="19">
        <f>E7*F7</f>
        <v>16200</v>
      </c>
      <c r="H7" s="63"/>
      <c r="I7" s="64"/>
    </row>
    <row r="8" spans="1:13" ht="15" customHeight="1" x14ac:dyDescent="0.25">
      <c r="A8" s="55"/>
      <c r="B8" s="15" t="s">
        <v>31</v>
      </c>
      <c r="C8" s="17" t="s">
        <v>32</v>
      </c>
      <c r="D8" s="8">
        <f>G6</f>
        <v>16139.999999999782</v>
      </c>
      <c r="E8" s="18" t="s">
        <v>33</v>
      </c>
      <c r="F8" s="3">
        <f>G7</f>
        <v>16200</v>
      </c>
      <c r="G8" s="20">
        <f>D8/F8</f>
        <v>0.9962962962962828</v>
      </c>
      <c r="H8" s="63"/>
      <c r="I8" s="64"/>
      <c r="M8" s="29"/>
    </row>
    <row r="9" spans="1:13" ht="15" customHeight="1" thickBot="1" x14ac:dyDescent="0.3">
      <c r="A9" s="55"/>
      <c r="B9" s="9" t="s">
        <v>12</v>
      </c>
      <c r="C9" s="10">
        <v>12.35</v>
      </c>
      <c r="D9" s="14">
        <v>12.35</v>
      </c>
      <c r="E9" s="14">
        <v>1.0680000000000001</v>
      </c>
      <c r="F9" s="14">
        <v>1200</v>
      </c>
      <c r="G9" s="21">
        <f>E9*F9</f>
        <v>1281.6000000000001</v>
      </c>
      <c r="H9" s="65"/>
      <c r="I9" s="66"/>
    </row>
    <row r="10" spans="1:13" ht="15" customHeight="1" x14ac:dyDescent="0.25">
      <c r="A10" s="55"/>
      <c r="B10" s="58" t="s">
        <v>24</v>
      </c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 t="s">
        <v>13</v>
      </c>
      <c r="C11" s="3">
        <v>1062.25</v>
      </c>
      <c r="D11" s="3">
        <v>1063.31</v>
      </c>
      <c r="E11" s="3">
        <f>D11-C11</f>
        <v>1.0599999999999454</v>
      </c>
      <c r="F11" s="3">
        <v>1000</v>
      </c>
      <c r="G11" s="19">
        <f>E11*F11</f>
        <v>1059.9999999999454</v>
      </c>
      <c r="H11" s="39" t="s">
        <v>87</v>
      </c>
      <c r="I11" s="67" t="s">
        <v>88</v>
      </c>
    </row>
    <row r="12" spans="1:13" ht="15" customHeight="1" thickBot="1" x14ac:dyDescent="0.3">
      <c r="A12" s="55"/>
      <c r="B12" s="9" t="s">
        <v>14</v>
      </c>
      <c r="C12" s="14">
        <v>1075.04</v>
      </c>
      <c r="D12" s="14">
        <v>1076.1199999999999</v>
      </c>
      <c r="E12" s="14">
        <f>D12-C12</f>
        <v>1.0799999999999272</v>
      </c>
      <c r="F12" s="14">
        <v>1000</v>
      </c>
      <c r="G12" s="21">
        <f>E12*F12</f>
        <v>1079.9999999999272</v>
      </c>
      <c r="H12" s="40"/>
      <c r="I12" s="68"/>
    </row>
    <row r="13" spans="1:13" ht="15" customHeight="1" x14ac:dyDescent="0.25">
      <c r="A13" s="55"/>
      <c r="B13" s="69" t="s">
        <v>34</v>
      </c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 t="s">
        <v>25</v>
      </c>
      <c r="C14" s="14">
        <v>447956.91800000001</v>
      </c>
      <c r="D14" s="14">
        <v>451577.08799999999</v>
      </c>
      <c r="E14" s="14">
        <f>D14-C14</f>
        <v>3620.1699999999837</v>
      </c>
      <c r="F14" s="14">
        <v>1</v>
      </c>
      <c r="G14" s="21">
        <f>E14*F14</f>
        <v>3620.1699999999837</v>
      </c>
      <c r="H14" s="72" t="s">
        <v>39</v>
      </c>
      <c r="I14" s="73"/>
    </row>
    <row r="15" spans="1:13" ht="15" customHeight="1" x14ac:dyDescent="0.25">
      <c r="A15" s="55"/>
      <c r="B15" s="58" t="s">
        <v>16</v>
      </c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 t="s">
        <v>13</v>
      </c>
      <c r="C16" s="3">
        <v>694282.4</v>
      </c>
      <c r="D16" s="3">
        <v>696884.2</v>
      </c>
      <c r="E16" s="3">
        <f>D16-C16</f>
        <v>2601.7999999999302</v>
      </c>
      <c r="F16" s="3">
        <v>1</v>
      </c>
      <c r="G16" s="19">
        <f>E16*F16</f>
        <v>2601.7999999999302</v>
      </c>
      <c r="H16" s="51" t="s">
        <v>43</v>
      </c>
      <c r="I16" s="52"/>
    </row>
    <row r="17" spans="1:9" ht="20.100000000000001" customHeight="1" x14ac:dyDescent="0.25">
      <c r="A17" s="55"/>
      <c r="B17" s="7" t="s">
        <v>14</v>
      </c>
      <c r="C17" s="3">
        <v>724008.9</v>
      </c>
      <c r="D17" s="3">
        <v>726667</v>
      </c>
      <c r="E17" s="3">
        <f>D17-C17</f>
        <v>2658.0999999999767</v>
      </c>
      <c r="F17" s="3">
        <v>1</v>
      </c>
      <c r="G17" s="19">
        <f>E17*F17</f>
        <v>2658.0999999999767</v>
      </c>
      <c r="H17" s="74" t="s">
        <v>66</v>
      </c>
      <c r="I17" s="52" t="s">
        <v>65</v>
      </c>
    </row>
    <row r="18" spans="1:9" ht="20.100000000000001" customHeight="1" x14ac:dyDescent="0.25">
      <c r="A18" s="55"/>
      <c r="B18" s="7" t="s">
        <v>27</v>
      </c>
      <c r="C18" s="3">
        <v>2219.15</v>
      </c>
      <c r="D18" s="3">
        <v>2226.15</v>
      </c>
      <c r="E18" s="3">
        <f>D18-C18</f>
        <v>7</v>
      </c>
      <c r="F18" s="3">
        <v>1</v>
      </c>
      <c r="G18" s="19">
        <f>E18*F18</f>
        <v>7</v>
      </c>
      <c r="H18" s="75"/>
      <c r="I18" s="52"/>
    </row>
    <row r="19" spans="1:9" ht="20.100000000000001" customHeight="1" thickBot="1" x14ac:dyDescent="0.3">
      <c r="A19" s="55"/>
      <c r="B19" s="9" t="s">
        <v>28</v>
      </c>
      <c r="C19" s="10">
        <v>700</v>
      </c>
      <c r="D19" s="14">
        <v>800</v>
      </c>
      <c r="E19" s="14">
        <f>C19+D19</f>
        <v>1500</v>
      </c>
      <c r="F19" s="14">
        <v>700</v>
      </c>
      <c r="G19" s="21">
        <f>E19-F19</f>
        <v>800</v>
      </c>
      <c r="H19" s="40"/>
      <c r="I19" s="54"/>
    </row>
    <row r="20" spans="1:9" ht="20.100000000000001" customHeight="1" x14ac:dyDescent="0.25">
      <c r="A20" s="55"/>
      <c r="B20" s="69" t="s">
        <v>90</v>
      </c>
      <c r="C20" s="70"/>
      <c r="D20" s="70"/>
      <c r="E20" s="70"/>
      <c r="F20" s="70"/>
      <c r="G20" s="70"/>
      <c r="H20" s="70"/>
      <c r="I20" s="71"/>
    </row>
    <row r="21" spans="1:9" ht="20.100000000000001" customHeight="1" x14ac:dyDescent="0.25">
      <c r="A21" s="55"/>
      <c r="B21" s="7" t="s">
        <v>13</v>
      </c>
      <c r="C21" s="8">
        <v>193255</v>
      </c>
      <c r="D21" s="8">
        <v>193262</v>
      </c>
      <c r="E21" s="8">
        <f>D21-C21</f>
        <v>7</v>
      </c>
      <c r="F21" s="8">
        <v>1</v>
      </c>
      <c r="G21" s="22">
        <f>E21*F21</f>
        <v>7</v>
      </c>
      <c r="H21" s="51" t="s">
        <v>46</v>
      </c>
      <c r="I21" s="52"/>
    </row>
    <row r="22" spans="1:9" ht="20.100000000000001" customHeight="1" x14ac:dyDescent="0.25">
      <c r="A22" s="55"/>
      <c r="B22" s="7" t="s">
        <v>14</v>
      </c>
      <c r="C22" s="8">
        <v>214284</v>
      </c>
      <c r="D22" s="8">
        <v>214291</v>
      </c>
      <c r="E22" s="8">
        <f>D22-C22</f>
        <v>7</v>
      </c>
      <c r="F22" s="8">
        <v>1</v>
      </c>
      <c r="G22" s="22">
        <f>E22*F22</f>
        <v>7</v>
      </c>
      <c r="H22" s="51" t="s">
        <v>74</v>
      </c>
      <c r="I22" s="52" t="s">
        <v>74</v>
      </c>
    </row>
    <row r="23" spans="1:9" ht="20.100000000000001" customHeight="1" x14ac:dyDescent="0.25">
      <c r="A23" s="55"/>
      <c r="B23" s="7" t="s">
        <v>27</v>
      </c>
      <c r="C23" s="8">
        <v>904.9</v>
      </c>
      <c r="D23" s="8">
        <v>905.5</v>
      </c>
      <c r="E23" s="8">
        <f>D23-C23</f>
        <v>0.60000000000002274</v>
      </c>
      <c r="F23" s="8">
        <v>1</v>
      </c>
      <c r="G23" s="22">
        <f>E23*F23</f>
        <v>0.60000000000002274</v>
      </c>
      <c r="H23" s="51"/>
      <c r="I23" s="52"/>
    </row>
    <row r="24" spans="1:9" ht="20.100000000000001" customHeight="1" thickBot="1" x14ac:dyDescent="0.3">
      <c r="A24" s="55"/>
      <c r="B24" s="9" t="s">
        <v>28</v>
      </c>
      <c r="C24" s="10">
        <v>500</v>
      </c>
      <c r="D24" s="10">
        <v>0</v>
      </c>
      <c r="E24" s="10">
        <f>C24+D24</f>
        <v>500</v>
      </c>
      <c r="F24" s="10">
        <v>450</v>
      </c>
      <c r="G24" s="31">
        <f>E24-F24</f>
        <v>50</v>
      </c>
      <c r="H24" s="53"/>
      <c r="I24" s="54"/>
    </row>
    <row r="25" spans="1:9" ht="20.100000000000001" customHeight="1" x14ac:dyDescent="0.25">
      <c r="A25" s="55"/>
      <c r="B25" s="69" t="s">
        <v>91</v>
      </c>
      <c r="C25" s="70"/>
      <c r="D25" s="70"/>
      <c r="E25" s="70"/>
      <c r="F25" s="70"/>
      <c r="G25" s="70"/>
      <c r="H25" s="70"/>
      <c r="I25" s="71"/>
    </row>
    <row r="26" spans="1:9" ht="20.100000000000001" customHeight="1" x14ac:dyDescent="0.25">
      <c r="A26" s="55"/>
      <c r="B26" s="7" t="s">
        <v>13</v>
      </c>
      <c r="C26" s="8">
        <v>80215.160999999993</v>
      </c>
      <c r="D26" s="8">
        <v>82042.682000000001</v>
      </c>
      <c r="E26" s="8">
        <f>D26-C26</f>
        <v>1827.5210000000079</v>
      </c>
      <c r="F26" s="8">
        <v>1</v>
      </c>
      <c r="G26" s="22">
        <f>E26*F26</f>
        <v>1827.5210000000079</v>
      </c>
      <c r="H26" s="51" t="s">
        <v>46</v>
      </c>
      <c r="I26" s="52"/>
    </row>
    <row r="27" spans="1:9" ht="20.100000000000001" customHeight="1" x14ac:dyDescent="0.25">
      <c r="A27" s="55"/>
      <c r="B27" s="7" t="s">
        <v>14</v>
      </c>
      <c r="C27" s="8">
        <v>88260.732000000004</v>
      </c>
      <c r="D27" s="8">
        <v>90227.911999999997</v>
      </c>
      <c r="E27" s="8">
        <f>D27-C27</f>
        <v>1967.179999999993</v>
      </c>
      <c r="F27" s="8">
        <v>1</v>
      </c>
      <c r="G27" s="22">
        <f>E27*F27</f>
        <v>1967.179999999993</v>
      </c>
      <c r="H27" s="51" t="s">
        <v>74</v>
      </c>
      <c r="I27" s="52" t="s">
        <v>92</v>
      </c>
    </row>
    <row r="28" spans="1:9" ht="20.100000000000001" customHeight="1" x14ac:dyDescent="0.25">
      <c r="A28" s="55"/>
      <c r="B28" s="7" t="s">
        <v>27</v>
      </c>
      <c r="C28" s="8">
        <v>1134.5899999999999</v>
      </c>
      <c r="D28" s="8">
        <v>1141.47</v>
      </c>
      <c r="E28" s="8">
        <f>D28-C28</f>
        <v>6.8800000000001091</v>
      </c>
      <c r="F28" s="8">
        <v>1</v>
      </c>
      <c r="G28" s="22">
        <f>E28*F28</f>
        <v>6.8800000000001091</v>
      </c>
      <c r="H28" s="51"/>
      <c r="I28" s="52"/>
    </row>
    <row r="29" spans="1:9" ht="20.100000000000001" customHeight="1" thickBot="1" x14ac:dyDescent="0.3">
      <c r="A29" s="55"/>
      <c r="B29" s="9" t="s">
        <v>28</v>
      </c>
      <c r="C29" s="10">
        <v>600</v>
      </c>
      <c r="D29" s="10">
        <v>250</v>
      </c>
      <c r="E29" s="10">
        <f>C29+D29</f>
        <v>850</v>
      </c>
      <c r="F29" s="10">
        <v>300</v>
      </c>
      <c r="G29" s="31">
        <f>E29-F29</f>
        <v>550</v>
      </c>
      <c r="H29" s="53"/>
      <c r="I29" s="54"/>
    </row>
    <row r="30" spans="1:9" ht="15" customHeight="1" x14ac:dyDescent="0.25">
      <c r="A30" s="55"/>
      <c r="B30" s="69" t="s">
        <v>17</v>
      </c>
      <c r="C30" s="70"/>
      <c r="D30" s="70"/>
      <c r="E30" s="70"/>
      <c r="F30" s="70"/>
      <c r="G30" s="70"/>
      <c r="H30" s="70"/>
      <c r="I30" s="71"/>
    </row>
    <row r="31" spans="1:9" ht="15" customHeight="1" x14ac:dyDescent="0.25">
      <c r="A31" s="55"/>
      <c r="B31" s="7" t="s">
        <v>13</v>
      </c>
      <c r="C31" s="8">
        <v>82042.682000000001</v>
      </c>
      <c r="D31" s="8">
        <v>82042.682000000001</v>
      </c>
      <c r="E31" s="8">
        <f>D31-C31</f>
        <v>0</v>
      </c>
      <c r="F31" s="8">
        <v>1</v>
      </c>
      <c r="G31" s="22">
        <f>E31*F31</f>
        <v>0</v>
      </c>
      <c r="H31" s="51" t="s">
        <v>46</v>
      </c>
      <c r="I31" s="52"/>
    </row>
    <row r="32" spans="1:9" ht="15" customHeight="1" x14ac:dyDescent="0.25">
      <c r="A32" s="55"/>
      <c r="B32" s="7" t="s">
        <v>14</v>
      </c>
      <c r="C32" s="8">
        <v>90227.911999999997</v>
      </c>
      <c r="D32" s="8">
        <v>90227.911999999997</v>
      </c>
      <c r="E32" s="8">
        <f>D32-C32</f>
        <v>0</v>
      </c>
      <c r="F32" s="8">
        <v>1</v>
      </c>
      <c r="G32" s="22">
        <f>E32*F32</f>
        <v>0</v>
      </c>
      <c r="H32" s="51" t="s">
        <v>45</v>
      </c>
      <c r="I32" s="52" t="s">
        <v>47</v>
      </c>
    </row>
    <row r="33" spans="1:9" ht="15" customHeight="1" x14ac:dyDescent="0.25">
      <c r="A33" s="55"/>
      <c r="B33" s="7" t="s">
        <v>27</v>
      </c>
      <c r="C33" s="8">
        <v>4635.25</v>
      </c>
      <c r="D33" s="8">
        <v>4635.25</v>
      </c>
      <c r="E33" s="8">
        <f>D33-C33</f>
        <v>0</v>
      </c>
      <c r="F33" s="8">
        <v>1</v>
      </c>
      <c r="G33" s="22">
        <f>E33*F33</f>
        <v>0</v>
      </c>
      <c r="H33" s="51"/>
      <c r="I33" s="52"/>
    </row>
    <row r="34" spans="1:9" ht="15" customHeight="1" thickBot="1" x14ac:dyDescent="0.3">
      <c r="A34" s="55"/>
      <c r="B34" s="9" t="s">
        <v>28</v>
      </c>
      <c r="C34" s="10">
        <v>280</v>
      </c>
      <c r="D34" s="10">
        <v>0</v>
      </c>
      <c r="E34" s="10">
        <f>C34+D34</f>
        <v>280</v>
      </c>
      <c r="F34" s="10">
        <v>280</v>
      </c>
      <c r="G34" s="31">
        <f>E34-F34</f>
        <v>0</v>
      </c>
      <c r="H34" s="53"/>
      <c r="I34" s="54"/>
    </row>
    <row r="35" spans="1:9" ht="15" customHeight="1" x14ac:dyDescent="0.25">
      <c r="A35" s="55"/>
      <c r="B35" s="46" t="s">
        <v>83</v>
      </c>
      <c r="C35" s="47"/>
      <c r="D35" s="47"/>
      <c r="E35" s="47"/>
      <c r="F35" s="47"/>
      <c r="G35" s="47"/>
      <c r="H35" s="47"/>
      <c r="I35" s="48"/>
    </row>
    <row r="36" spans="1:9" ht="15" customHeight="1" x14ac:dyDescent="0.25">
      <c r="A36" s="55"/>
      <c r="B36" s="30" t="s">
        <v>27</v>
      </c>
      <c r="C36" s="3">
        <v>44450</v>
      </c>
      <c r="D36" s="3">
        <v>44473</v>
      </c>
      <c r="E36" s="3">
        <f>D36-C36</f>
        <v>23</v>
      </c>
      <c r="F36" s="3">
        <v>1</v>
      </c>
      <c r="G36" s="3">
        <f>E36*F36</f>
        <v>23</v>
      </c>
      <c r="H36" s="49" t="s">
        <v>48</v>
      </c>
      <c r="I36" s="41" t="s">
        <v>49</v>
      </c>
    </row>
    <row r="37" spans="1:9" ht="15" customHeight="1" thickBot="1" x14ac:dyDescent="0.3">
      <c r="A37" s="55"/>
      <c r="B37" s="25" t="s">
        <v>56</v>
      </c>
      <c r="C37" s="16">
        <v>19469</v>
      </c>
      <c r="D37" s="16">
        <v>19478</v>
      </c>
      <c r="E37" s="16">
        <f>D37-C37</f>
        <v>9</v>
      </c>
      <c r="F37" s="16">
        <v>1</v>
      </c>
      <c r="G37" s="16">
        <f>E37*F37</f>
        <v>9</v>
      </c>
      <c r="H37" s="50"/>
      <c r="I37" s="42"/>
    </row>
    <row r="38" spans="1:9" ht="15" customHeight="1" x14ac:dyDescent="0.25">
      <c r="A38" s="55"/>
      <c r="B38" s="34" t="s">
        <v>82</v>
      </c>
      <c r="C38" s="35"/>
      <c r="D38" s="35"/>
      <c r="E38" s="35"/>
      <c r="F38" s="35"/>
      <c r="G38" s="35"/>
      <c r="H38" s="35"/>
      <c r="I38" s="36"/>
    </row>
    <row r="39" spans="1:9" ht="15" customHeight="1" x14ac:dyDescent="0.25">
      <c r="A39" s="55"/>
      <c r="B39" s="30" t="s">
        <v>27</v>
      </c>
      <c r="C39" s="3">
        <v>6514</v>
      </c>
      <c r="D39" s="3">
        <v>6533</v>
      </c>
      <c r="E39" s="3">
        <f>D39-C39</f>
        <v>19</v>
      </c>
      <c r="F39" s="3">
        <v>1</v>
      </c>
      <c r="G39" s="3">
        <f>E39*F39</f>
        <v>19</v>
      </c>
      <c r="H39" s="39" t="s">
        <v>79</v>
      </c>
      <c r="I39" s="41" t="s">
        <v>80</v>
      </c>
    </row>
    <row r="40" spans="1:9" ht="15" customHeight="1" thickBot="1" x14ac:dyDescent="0.3">
      <c r="A40" s="55"/>
      <c r="B40" s="25" t="s">
        <v>56</v>
      </c>
      <c r="C40" s="14">
        <v>5835</v>
      </c>
      <c r="D40" s="14">
        <v>5852</v>
      </c>
      <c r="E40" s="14">
        <f>D40-C40</f>
        <v>17</v>
      </c>
      <c r="F40" s="14">
        <v>1</v>
      </c>
      <c r="G40" s="14">
        <f>E40*F40</f>
        <v>17</v>
      </c>
      <c r="H40" s="40"/>
      <c r="I40" s="42"/>
    </row>
    <row r="41" spans="1:9" ht="15" customHeight="1" x14ac:dyDescent="0.25">
      <c r="A41" s="55"/>
      <c r="B41" s="34" t="s">
        <v>81</v>
      </c>
      <c r="C41" s="35"/>
      <c r="D41" s="35"/>
      <c r="E41" s="35"/>
      <c r="F41" s="35"/>
      <c r="G41" s="35"/>
      <c r="H41" s="35"/>
      <c r="I41" s="36"/>
    </row>
    <row r="42" spans="1:9" ht="15" customHeight="1" x14ac:dyDescent="0.25">
      <c r="A42" s="55"/>
      <c r="B42" s="30" t="s">
        <v>27</v>
      </c>
      <c r="C42" s="3">
        <v>19063</v>
      </c>
      <c r="D42" s="3">
        <v>19074</v>
      </c>
      <c r="E42" s="3">
        <f>D42-C42</f>
        <v>11</v>
      </c>
      <c r="F42" s="3">
        <v>1</v>
      </c>
      <c r="G42" s="3">
        <f>E42*F42</f>
        <v>11</v>
      </c>
      <c r="H42" s="49" t="s">
        <v>52</v>
      </c>
      <c r="I42" s="41" t="s">
        <v>53</v>
      </c>
    </row>
    <row r="43" spans="1:9" ht="15" customHeight="1" thickBot="1" x14ac:dyDescent="0.3">
      <c r="A43" s="55"/>
      <c r="B43" s="13" t="s">
        <v>56</v>
      </c>
      <c r="C43" s="14">
        <v>10728</v>
      </c>
      <c r="D43" s="14">
        <v>10735</v>
      </c>
      <c r="E43" s="14">
        <f>D43-C43</f>
        <v>7</v>
      </c>
      <c r="F43" s="14">
        <v>1</v>
      </c>
      <c r="G43" s="14">
        <f>E43*F43</f>
        <v>7</v>
      </c>
      <c r="H43" s="50"/>
      <c r="I43" s="42"/>
    </row>
    <row r="44" spans="1:9" ht="15" customHeight="1" x14ac:dyDescent="0.25">
      <c r="A44" s="55"/>
      <c r="B44" s="46" t="s">
        <v>36</v>
      </c>
      <c r="C44" s="47"/>
      <c r="D44" s="47"/>
      <c r="E44" s="47"/>
      <c r="F44" s="47"/>
      <c r="G44" s="47"/>
      <c r="H44" s="47"/>
      <c r="I44" s="48"/>
    </row>
    <row r="45" spans="1:9" ht="15" customHeight="1" x14ac:dyDescent="0.25">
      <c r="A45" s="55"/>
      <c r="B45" s="25" t="s">
        <v>27</v>
      </c>
      <c r="C45" s="26">
        <v>3758.4</v>
      </c>
      <c r="D45" s="26">
        <v>3758.4</v>
      </c>
      <c r="E45" s="26">
        <f>D45-C45</f>
        <v>0</v>
      </c>
      <c r="F45" s="26">
        <v>1</v>
      </c>
      <c r="G45" s="26">
        <f>E45*F45</f>
        <v>0</v>
      </c>
      <c r="H45" s="49" t="s">
        <v>54</v>
      </c>
      <c r="I45" s="41" t="s">
        <v>55</v>
      </c>
    </row>
    <row r="46" spans="1:9" ht="15" customHeight="1" thickBot="1" x14ac:dyDescent="0.3">
      <c r="A46" s="55"/>
      <c r="B46" s="43" t="s">
        <v>42</v>
      </c>
      <c r="C46" s="44"/>
      <c r="D46" s="44"/>
      <c r="E46" s="44"/>
      <c r="F46" s="45"/>
      <c r="G46" s="14">
        <v>0</v>
      </c>
      <c r="H46" s="50"/>
      <c r="I46" s="42"/>
    </row>
    <row r="47" spans="1:9" ht="15" customHeight="1" x14ac:dyDescent="0.25">
      <c r="A47" s="55"/>
      <c r="B47" s="34" t="s">
        <v>37</v>
      </c>
      <c r="C47" s="35"/>
      <c r="D47" s="35"/>
      <c r="E47" s="35"/>
      <c r="F47" s="35"/>
      <c r="G47" s="35"/>
      <c r="H47" s="35"/>
      <c r="I47" s="36"/>
    </row>
    <row r="48" spans="1:9" ht="15" customHeight="1" x14ac:dyDescent="0.25">
      <c r="A48" s="55"/>
      <c r="B48" s="25" t="s">
        <v>27</v>
      </c>
      <c r="C48" s="26">
        <v>15556</v>
      </c>
      <c r="D48" s="26">
        <v>15556</v>
      </c>
      <c r="E48" s="26">
        <f>D48-C48</f>
        <v>0</v>
      </c>
      <c r="F48" s="26">
        <v>1</v>
      </c>
      <c r="G48" s="26">
        <f>E48*F48</f>
        <v>0</v>
      </c>
      <c r="H48" s="39" t="s">
        <v>59</v>
      </c>
      <c r="I48" s="41" t="s">
        <v>60</v>
      </c>
    </row>
    <row r="49" spans="1:9" ht="15" customHeight="1" thickBot="1" x14ac:dyDescent="0.3">
      <c r="A49" s="55"/>
      <c r="B49" s="43" t="s">
        <v>42</v>
      </c>
      <c r="C49" s="44"/>
      <c r="D49" s="44"/>
      <c r="E49" s="44"/>
      <c r="F49" s="45"/>
      <c r="G49" s="14">
        <v>0</v>
      </c>
      <c r="H49" s="40"/>
      <c r="I49" s="42"/>
    </row>
    <row r="50" spans="1:9" ht="15" customHeight="1" x14ac:dyDescent="0.25">
      <c r="A50" s="55"/>
      <c r="B50" s="34" t="s">
        <v>38</v>
      </c>
      <c r="C50" s="35"/>
      <c r="D50" s="35"/>
      <c r="E50" s="35"/>
      <c r="F50" s="35"/>
      <c r="G50" s="35"/>
      <c r="H50" s="35"/>
      <c r="I50" s="36"/>
    </row>
    <row r="51" spans="1:9" ht="15" customHeight="1" x14ac:dyDescent="0.25">
      <c r="A51" s="55"/>
      <c r="B51" s="25" t="s">
        <v>27</v>
      </c>
      <c r="C51" s="26">
        <v>6851.2</v>
      </c>
      <c r="D51" s="26">
        <v>6865</v>
      </c>
      <c r="E51" s="26">
        <f>D51-C51</f>
        <v>13.800000000000182</v>
      </c>
      <c r="F51" s="26">
        <v>1</v>
      </c>
      <c r="G51" s="26">
        <f>E51*F51</f>
        <v>13.800000000000182</v>
      </c>
      <c r="H51" s="39" t="s">
        <v>57</v>
      </c>
      <c r="I51" s="41" t="s">
        <v>58</v>
      </c>
    </row>
    <row r="52" spans="1:9" ht="15" customHeight="1" thickBot="1" x14ac:dyDescent="0.3">
      <c r="A52" s="55"/>
      <c r="B52" s="43" t="s">
        <v>42</v>
      </c>
      <c r="C52" s="44"/>
      <c r="D52" s="44"/>
      <c r="E52" s="44"/>
      <c r="F52" s="45"/>
      <c r="G52" s="14">
        <v>0</v>
      </c>
      <c r="H52" s="40"/>
      <c r="I52" s="42"/>
    </row>
    <row r="53" spans="1:9" ht="15" customHeight="1" x14ac:dyDescent="0.25">
      <c r="A53" s="55"/>
      <c r="B53" s="34" t="s">
        <v>41</v>
      </c>
      <c r="C53" s="35"/>
      <c r="D53" s="35"/>
      <c r="E53" s="35"/>
      <c r="F53" s="35"/>
      <c r="G53" s="35"/>
      <c r="H53" s="35"/>
      <c r="I53" s="36"/>
    </row>
    <row r="54" spans="1:9" ht="27.75" customHeight="1" thickBot="1" x14ac:dyDescent="0.3">
      <c r="A54" s="55"/>
      <c r="B54" s="13" t="s">
        <v>27</v>
      </c>
      <c r="C54" s="27">
        <v>829</v>
      </c>
      <c r="D54" s="27">
        <v>832</v>
      </c>
      <c r="E54" s="27">
        <f>D54-C54</f>
        <v>3</v>
      </c>
      <c r="F54" s="27">
        <v>1</v>
      </c>
      <c r="G54" s="27">
        <f>E54*F54</f>
        <v>3</v>
      </c>
      <c r="H54" s="33" t="s">
        <v>63</v>
      </c>
      <c r="I54" s="28" t="s">
        <v>62</v>
      </c>
    </row>
    <row r="55" spans="1:9" ht="29.25" customHeight="1" x14ac:dyDescent="0.25">
      <c r="A55" s="55"/>
      <c r="B55" s="37" t="s">
        <v>84</v>
      </c>
      <c r="C55" s="37"/>
      <c r="D55" s="37"/>
      <c r="E55" s="37"/>
      <c r="F55" s="37"/>
      <c r="G55" s="37"/>
      <c r="H55" s="37"/>
      <c r="I55" s="37"/>
    </row>
    <row r="56" spans="1:9" ht="34.5" customHeight="1" x14ac:dyDescent="0.25">
      <c r="A56" s="55"/>
      <c r="B56" s="38" t="s">
        <v>94</v>
      </c>
      <c r="C56" s="38"/>
      <c r="D56" s="38"/>
      <c r="E56" s="38"/>
      <c r="F56" s="38"/>
      <c r="G56" s="38"/>
      <c r="H56" s="38"/>
      <c r="I56" s="38"/>
    </row>
  </sheetData>
  <mergeCells count="51">
    <mergeCell ref="B56:I56"/>
    <mergeCell ref="H51:H52"/>
    <mergeCell ref="I51:I52"/>
    <mergeCell ref="B52:F52"/>
    <mergeCell ref="B53:I53"/>
    <mergeCell ref="B55:I55"/>
    <mergeCell ref="B47:I47"/>
    <mergeCell ref="H48:H49"/>
    <mergeCell ref="I48:I49"/>
    <mergeCell ref="B49:F49"/>
    <mergeCell ref="B50:I50"/>
    <mergeCell ref="A1:A56"/>
    <mergeCell ref="H26:I26"/>
    <mergeCell ref="H27:H29"/>
    <mergeCell ref="I27:I29"/>
    <mergeCell ref="B30:I30"/>
    <mergeCell ref="H31:I31"/>
    <mergeCell ref="H32:H34"/>
    <mergeCell ref="I32:I34"/>
    <mergeCell ref="B35:I35"/>
    <mergeCell ref="H36:H37"/>
    <mergeCell ref="I36:I37"/>
    <mergeCell ref="B38:I38"/>
    <mergeCell ref="H39:H40"/>
    <mergeCell ref="I39:I40"/>
    <mergeCell ref="B41:I41"/>
    <mergeCell ref="H42:H43"/>
    <mergeCell ref="B20:I20"/>
    <mergeCell ref="B1:I1"/>
    <mergeCell ref="B2:I2"/>
    <mergeCell ref="B3:I3"/>
    <mergeCell ref="B5:I5"/>
    <mergeCell ref="H6:I9"/>
    <mergeCell ref="B10:I10"/>
    <mergeCell ref="H11:H12"/>
    <mergeCell ref="I11:I12"/>
    <mergeCell ref="B13:I13"/>
    <mergeCell ref="H14:I14"/>
    <mergeCell ref="B15:I15"/>
    <mergeCell ref="H16:I16"/>
    <mergeCell ref="H17:H19"/>
    <mergeCell ref="I17:I19"/>
    <mergeCell ref="B44:I44"/>
    <mergeCell ref="H45:H46"/>
    <mergeCell ref="I45:I46"/>
    <mergeCell ref="B46:F46"/>
    <mergeCell ref="H21:I21"/>
    <mergeCell ref="H22:H24"/>
    <mergeCell ref="I22:I24"/>
    <mergeCell ref="B25:I25"/>
    <mergeCell ref="I42:I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1F4B-1B69-4639-AA6A-3C12674A1AFC}">
  <dimension ref="A1:M46"/>
  <sheetViews>
    <sheetView workbookViewId="0">
      <selection sqref="A1:XFD1048576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/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/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/>
      <c r="C4" s="12"/>
      <c r="D4" s="23"/>
      <c r="E4" s="23"/>
      <c r="F4" s="23"/>
      <c r="G4" s="23"/>
      <c r="H4" s="23"/>
      <c r="I4" s="24"/>
    </row>
    <row r="5" spans="1:13" ht="15" customHeight="1" x14ac:dyDescent="0.25">
      <c r="A5" s="55"/>
      <c r="B5" s="58"/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/>
      <c r="C6" s="3"/>
      <c r="D6" s="3"/>
      <c r="E6" s="3"/>
      <c r="F6" s="3"/>
      <c r="G6" s="19"/>
      <c r="H6" s="61"/>
      <c r="I6" s="62"/>
    </row>
    <row r="7" spans="1:13" ht="15" customHeight="1" x14ac:dyDescent="0.25">
      <c r="A7" s="55"/>
      <c r="B7" s="7"/>
      <c r="C7" s="32"/>
      <c r="D7" s="32"/>
      <c r="E7" s="3"/>
      <c r="F7" s="3"/>
      <c r="G7" s="19"/>
      <c r="H7" s="63"/>
      <c r="I7" s="64"/>
    </row>
    <row r="8" spans="1:13" ht="15" customHeight="1" x14ac:dyDescent="0.25">
      <c r="A8" s="55"/>
      <c r="B8" s="15"/>
      <c r="C8" s="17"/>
      <c r="D8" s="8"/>
      <c r="E8" s="18"/>
      <c r="F8" s="3"/>
      <c r="G8" s="20"/>
      <c r="H8" s="63"/>
      <c r="I8" s="64"/>
      <c r="M8" s="29"/>
    </row>
    <row r="9" spans="1:13" ht="15" customHeight="1" thickBot="1" x14ac:dyDescent="0.3">
      <c r="A9" s="55"/>
      <c r="B9" s="9"/>
      <c r="C9" s="10"/>
      <c r="D9" s="14"/>
      <c r="E9" s="14"/>
      <c r="F9" s="14"/>
      <c r="G9" s="21"/>
      <c r="H9" s="65"/>
      <c r="I9" s="66"/>
    </row>
    <row r="10" spans="1:13" ht="15" customHeight="1" x14ac:dyDescent="0.25">
      <c r="A10" s="55"/>
      <c r="B10" s="58"/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/>
      <c r="C11" s="3"/>
      <c r="D11" s="3"/>
      <c r="E11" s="3"/>
      <c r="F11" s="3"/>
      <c r="G11" s="19"/>
      <c r="H11" s="39"/>
      <c r="I11" s="67"/>
    </row>
    <row r="12" spans="1:13" ht="15" customHeight="1" thickBot="1" x14ac:dyDescent="0.3">
      <c r="A12" s="55"/>
      <c r="B12" s="9"/>
      <c r="C12" s="14"/>
      <c r="D12" s="14"/>
      <c r="E12" s="14"/>
      <c r="F12" s="14"/>
      <c r="G12" s="21"/>
      <c r="H12" s="40"/>
      <c r="I12" s="68"/>
    </row>
    <row r="13" spans="1:13" ht="15" customHeight="1" x14ac:dyDescent="0.25">
      <c r="A13" s="55"/>
      <c r="B13" s="69"/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/>
      <c r="C14" s="14"/>
      <c r="D14" s="14"/>
      <c r="E14" s="14"/>
      <c r="F14" s="14"/>
      <c r="G14" s="21"/>
      <c r="H14" s="72"/>
      <c r="I14" s="73"/>
    </row>
    <row r="15" spans="1:13" ht="15" customHeight="1" x14ac:dyDescent="0.25">
      <c r="A15" s="55"/>
      <c r="B15" s="58"/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/>
      <c r="C16" s="3"/>
      <c r="D16" s="3"/>
      <c r="E16" s="3"/>
      <c r="F16" s="3"/>
      <c r="G16" s="19"/>
      <c r="H16" s="51"/>
      <c r="I16" s="52"/>
    </row>
    <row r="17" spans="1:9" ht="20.100000000000001" customHeight="1" x14ac:dyDescent="0.25">
      <c r="A17" s="55"/>
      <c r="B17" s="7"/>
      <c r="C17" s="3"/>
      <c r="D17" s="3"/>
      <c r="E17" s="3"/>
      <c r="F17" s="3"/>
      <c r="G17" s="19"/>
      <c r="H17" s="74"/>
      <c r="I17" s="52"/>
    </row>
    <row r="18" spans="1:9" ht="20.100000000000001" customHeight="1" x14ac:dyDescent="0.25">
      <c r="A18" s="55"/>
      <c r="B18" s="7"/>
      <c r="C18" s="3"/>
      <c r="D18" s="3"/>
      <c r="E18" s="3"/>
      <c r="F18" s="3"/>
      <c r="G18" s="19"/>
      <c r="H18" s="75"/>
      <c r="I18" s="52"/>
    </row>
    <row r="19" spans="1:9" ht="20.100000000000001" customHeight="1" thickBot="1" x14ac:dyDescent="0.3">
      <c r="A19" s="55"/>
      <c r="B19" s="9"/>
      <c r="C19" s="10"/>
      <c r="D19" s="14"/>
      <c r="E19" s="14"/>
      <c r="F19" s="14"/>
      <c r="G19" s="21"/>
      <c r="H19" s="40"/>
      <c r="I19" s="54"/>
    </row>
    <row r="20" spans="1:9" ht="15" customHeight="1" x14ac:dyDescent="0.25">
      <c r="A20" s="55"/>
      <c r="B20" s="69"/>
      <c r="C20" s="70"/>
      <c r="D20" s="70"/>
      <c r="E20" s="70"/>
      <c r="F20" s="70"/>
      <c r="G20" s="70"/>
      <c r="H20" s="70"/>
      <c r="I20" s="71"/>
    </row>
    <row r="21" spans="1:9" ht="15" customHeight="1" x14ac:dyDescent="0.25">
      <c r="A21" s="55"/>
      <c r="B21" s="7"/>
      <c r="C21" s="8"/>
      <c r="D21" s="8"/>
      <c r="E21" s="8"/>
      <c r="F21" s="8"/>
      <c r="G21" s="22"/>
      <c r="H21" s="51"/>
      <c r="I21" s="52"/>
    </row>
    <row r="22" spans="1:9" ht="15" customHeight="1" x14ac:dyDescent="0.25">
      <c r="A22" s="55"/>
      <c r="B22" s="7"/>
      <c r="C22" s="8"/>
      <c r="D22" s="8"/>
      <c r="E22" s="8"/>
      <c r="F22" s="8"/>
      <c r="G22" s="22"/>
      <c r="H22" s="51"/>
      <c r="I22" s="52"/>
    </row>
    <row r="23" spans="1:9" ht="15" customHeight="1" x14ac:dyDescent="0.25">
      <c r="A23" s="55"/>
      <c r="B23" s="7"/>
      <c r="C23" s="8"/>
      <c r="D23" s="8"/>
      <c r="E23" s="8"/>
      <c r="F23" s="8"/>
      <c r="G23" s="22"/>
      <c r="H23" s="51"/>
      <c r="I23" s="52"/>
    </row>
    <row r="24" spans="1:9" ht="15" customHeight="1" thickBot="1" x14ac:dyDescent="0.3">
      <c r="A24" s="55"/>
      <c r="B24" s="9"/>
      <c r="C24" s="10"/>
      <c r="D24" s="10"/>
      <c r="E24" s="10"/>
      <c r="F24" s="10"/>
      <c r="G24" s="31"/>
      <c r="H24" s="53"/>
      <c r="I24" s="54"/>
    </row>
    <row r="25" spans="1:9" ht="15" customHeight="1" x14ac:dyDescent="0.25">
      <c r="A25" s="55"/>
      <c r="B25" s="46"/>
      <c r="C25" s="47"/>
      <c r="D25" s="47"/>
      <c r="E25" s="47"/>
      <c r="F25" s="47"/>
      <c r="G25" s="47"/>
      <c r="H25" s="47"/>
      <c r="I25" s="48"/>
    </row>
    <row r="26" spans="1:9" ht="15" customHeight="1" x14ac:dyDescent="0.25">
      <c r="A26" s="55"/>
      <c r="B26" s="30"/>
      <c r="C26" s="3"/>
      <c r="D26" s="3"/>
      <c r="E26" s="3"/>
      <c r="F26" s="3"/>
      <c r="G26" s="3"/>
      <c r="H26" s="49"/>
      <c r="I26" s="41"/>
    </row>
    <row r="27" spans="1:9" ht="15" customHeight="1" thickBot="1" x14ac:dyDescent="0.3">
      <c r="A27" s="55"/>
      <c r="B27" s="25"/>
      <c r="C27" s="16"/>
      <c r="D27" s="16"/>
      <c r="E27" s="16"/>
      <c r="F27" s="16"/>
      <c r="G27" s="16"/>
      <c r="H27" s="50"/>
      <c r="I27" s="42"/>
    </row>
    <row r="28" spans="1:9" ht="15" customHeight="1" x14ac:dyDescent="0.25">
      <c r="A28" s="55"/>
      <c r="B28" s="34"/>
      <c r="C28" s="35"/>
      <c r="D28" s="35"/>
      <c r="E28" s="35"/>
      <c r="F28" s="35"/>
      <c r="G28" s="35"/>
      <c r="H28" s="35"/>
      <c r="I28" s="36"/>
    </row>
    <row r="29" spans="1:9" ht="15" customHeight="1" x14ac:dyDescent="0.25">
      <c r="A29" s="55"/>
      <c r="B29" s="30"/>
      <c r="C29" s="3"/>
      <c r="D29" s="3"/>
      <c r="E29" s="3"/>
      <c r="F29" s="3"/>
      <c r="G29" s="3"/>
      <c r="H29" s="49"/>
      <c r="I29" s="41"/>
    </row>
    <row r="30" spans="1:9" ht="15" customHeight="1" thickBot="1" x14ac:dyDescent="0.3">
      <c r="A30" s="55"/>
      <c r="B30" s="25"/>
      <c r="C30" s="14"/>
      <c r="D30" s="14"/>
      <c r="E30" s="14"/>
      <c r="F30" s="14"/>
      <c r="G30" s="14"/>
      <c r="H30" s="50"/>
      <c r="I30" s="42"/>
    </row>
    <row r="31" spans="1:9" ht="15" customHeight="1" x14ac:dyDescent="0.25">
      <c r="A31" s="55"/>
      <c r="B31" s="34"/>
      <c r="C31" s="35"/>
      <c r="D31" s="35"/>
      <c r="E31" s="35"/>
      <c r="F31" s="35"/>
      <c r="G31" s="35"/>
      <c r="H31" s="35"/>
      <c r="I31" s="36"/>
    </row>
    <row r="32" spans="1:9" ht="15" customHeight="1" x14ac:dyDescent="0.25">
      <c r="A32" s="55"/>
      <c r="B32" s="30"/>
      <c r="C32" s="3"/>
      <c r="D32" s="3"/>
      <c r="E32" s="3"/>
      <c r="F32" s="3"/>
      <c r="G32" s="3"/>
      <c r="H32" s="49"/>
      <c r="I32" s="41"/>
    </row>
    <row r="33" spans="1:9" ht="15" customHeight="1" thickBot="1" x14ac:dyDescent="0.3">
      <c r="A33" s="55"/>
      <c r="B33" s="13"/>
      <c r="C33" s="14"/>
      <c r="D33" s="14"/>
      <c r="E33" s="14"/>
      <c r="F33" s="14"/>
      <c r="G33" s="14"/>
      <c r="H33" s="50"/>
      <c r="I33" s="42"/>
    </row>
    <row r="34" spans="1:9" ht="15" customHeight="1" x14ac:dyDescent="0.25">
      <c r="A34" s="55"/>
      <c r="B34" s="46"/>
      <c r="C34" s="47"/>
      <c r="D34" s="47"/>
      <c r="E34" s="47"/>
      <c r="F34" s="47"/>
      <c r="G34" s="47"/>
      <c r="H34" s="47"/>
      <c r="I34" s="48"/>
    </row>
    <row r="35" spans="1:9" ht="15" customHeight="1" x14ac:dyDescent="0.25">
      <c r="A35" s="55"/>
      <c r="B35" s="25"/>
      <c r="C35" s="26"/>
      <c r="D35" s="26"/>
      <c r="E35" s="26"/>
      <c r="F35" s="26"/>
      <c r="G35" s="26"/>
      <c r="H35" s="49"/>
      <c r="I35" s="41"/>
    </row>
    <row r="36" spans="1:9" ht="15" customHeight="1" thickBot="1" x14ac:dyDescent="0.3">
      <c r="A36" s="55"/>
      <c r="B36" s="43"/>
      <c r="C36" s="44"/>
      <c r="D36" s="44"/>
      <c r="E36" s="44"/>
      <c r="F36" s="45"/>
      <c r="G36" s="14"/>
      <c r="H36" s="50"/>
      <c r="I36" s="42"/>
    </row>
    <row r="37" spans="1:9" ht="15" customHeight="1" x14ac:dyDescent="0.25">
      <c r="A37" s="55"/>
      <c r="B37" s="34"/>
      <c r="C37" s="35"/>
      <c r="D37" s="35"/>
      <c r="E37" s="35"/>
      <c r="F37" s="35"/>
      <c r="G37" s="35"/>
      <c r="H37" s="35"/>
      <c r="I37" s="36"/>
    </row>
    <row r="38" spans="1:9" ht="15" customHeight="1" x14ac:dyDescent="0.25">
      <c r="A38" s="55"/>
      <c r="B38" s="25"/>
      <c r="C38" s="26"/>
      <c r="D38" s="26"/>
      <c r="E38" s="26"/>
      <c r="F38" s="26"/>
      <c r="G38" s="26"/>
      <c r="H38" s="39"/>
      <c r="I38" s="41"/>
    </row>
    <row r="39" spans="1:9" ht="15" customHeight="1" thickBot="1" x14ac:dyDescent="0.3">
      <c r="A39" s="55"/>
      <c r="B39" s="43"/>
      <c r="C39" s="44"/>
      <c r="D39" s="44"/>
      <c r="E39" s="44"/>
      <c r="F39" s="45"/>
      <c r="G39" s="14"/>
      <c r="H39" s="40"/>
      <c r="I39" s="42"/>
    </row>
    <row r="40" spans="1:9" ht="15" customHeight="1" x14ac:dyDescent="0.25">
      <c r="A40" s="55"/>
      <c r="B40" s="34"/>
      <c r="C40" s="35"/>
      <c r="D40" s="35"/>
      <c r="E40" s="35"/>
      <c r="F40" s="35"/>
      <c r="G40" s="35"/>
      <c r="H40" s="35"/>
      <c r="I40" s="36"/>
    </row>
    <row r="41" spans="1:9" ht="15" customHeight="1" x14ac:dyDescent="0.25">
      <c r="A41" s="55"/>
      <c r="B41" s="25"/>
      <c r="C41" s="26"/>
      <c r="D41" s="26"/>
      <c r="E41" s="26"/>
      <c r="F41" s="26"/>
      <c r="G41" s="26"/>
      <c r="H41" s="39"/>
      <c r="I41" s="41"/>
    </row>
    <row r="42" spans="1:9" ht="15" customHeight="1" thickBot="1" x14ac:dyDescent="0.3">
      <c r="A42" s="55"/>
      <c r="B42" s="43"/>
      <c r="C42" s="44"/>
      <c r="D42" s="44"/>
      <c r="E42" s="44"/>
      <c r="F42" s="45"/>
      <c r="G42" s="14"/>
      <c r="H42" s="40"/>
      <c r="I42" s="42"/>
    </row>
    <row r="43" spans="1:9" ht="15" customHeight="1" x14ac:dyDescent="0.25">
      <c r="A43" s="55"/>
      <c r="B43" s="34"/>
      <c r="C43" s="35"/>
      <c r="D43" s="35"/>
      <c r="E43" s="35"/>
      <c r="F43" s="35"/>
      <c r="G43" s="35"/>
      <c r="H43" s="35"/>
      <c r="I43" s="36"/>
    </row>
    <row r="44" spans="1:9" ht="27.75" customHeight="1" thickBot="1" x14ac:dyDescent="0.3">
      <c r="A44" s="55"/>
      <c r="B44" s="13"/>
      <c r="C44" s="27"/>
      <c r="D44" s="27"/>
      <c r="E44" s="27"/>
      <c r="F44" s="27"/>
      <c r="G44" s="27"/>
      <c r="H44" s="33"/>
      <c r="I44" s="28"/>
    </row>
    <row r="45" spans="1:9" ht="23.25" customHeight="1" x14ac:dyDescent="0.25">
      <c r="A45" s="55"/>
      <c r="B45" s="37"/>
      <c r="C45" s="37"/>
      <c r="D45" s="37"/>
      <c r="E45" s="37"/>
      <c r="F45" s="37"/>
      <c r="G45" s="37"/>
      <c r="H45" s="37"/>
      <c r="I45" s="37"/>
    </row>
    <row r="46" spans="1:9" ht="34.5" customHeight="1" x14ac:dyDescent="0.25">
      <c r="A46" s="55"/>
      <c r="B46" s="38"/>
      <c r="C46" s="38"/>
      <c r="D46" s="38"/>
      <c r="E46" s="38"/>
      <c r="F46" s="38"/>
      <c r="G46" s="38"/>
      <c r="H46" s="38"/>
      <c r="I46" s="38"/>
    </row>
  </sheetData>
  <mergeCells count="43">
    <mergeCell ref="B46:I46"/>
    <mergeCell ref="B40:I40"/>
    <mergeCell ref="H41:H42"/>
    <mergeCell ref="I41:I42"/>
    <mergeCell ref="B42:F42"/>
    <mergeCell ref="B43:I43"/>
    <mergeCell ref="B45:I45"/>
    <mergeCell ref="H38:H39"/>
    <mergeCell ref="I38:I39"/>
    <mergeCell ref="B39:F39"/>
    <mergeCell ref="B28:I28"/>
    <mergeCell ref="H29:H30"/>
    <mergeCell ref="I29:I30"/>
    <mergeCell ref="B31:I31"/>
    <mergeCell ref="H32:H33"/>
    <mergeCell ref="I32:I33"/>
    <mergeCell ref="B34:I34"/>
    <mergeCell ref="H35:H36"/>
    <mergeCell ref="I35:I36"/>
    <mergeCell ref="B36:F36"/>
    <mergeCell ref="B37:I37"/>
    <mergeCell ref="H21:I21"/>
    <mergeCell ref="H22:H24"/>
    <mergeCell ref="I22:I24"/>
    <mergeCell ref="B25:I25"/>
    <mergeCell ref="H26:H27"/>
    <mergeCell ref="I26:I27"/>
    <mergeCell ref="B20:I20"/>
    <mergeCell ref="A1:A46"/>
    <mergeCell ref="B1:I1"/>
    <mergeCell ref="B2:I2"/>
    <mergeCell ref="B3:I3"/>
    <mergeCell ref="B5:I5"/>
    <mergeCell ref="H6:I9"/>
    <mergeCell ref="B10:I10"/>
    <mergeCell ref="H11:H12"/>
    <mergeCell ref="I11:I12"/>
    <mergeCell ref="B13:I13"/>
    <mergeCell ref="H14:I14"/>
    <mergeCell ref="B15:I15"/>
    <mergeCell ref="H16:I16"/>
    <mergeCell ref="H17:H19"/>
    <mergeCell ref="I17:I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EC90-07EA-4430-B808-0B7AB99626AC}">
  <dimension ref="A1:M46"/>
  <sheetViews>
    <sheetView workbookViewId="0">
      <selection sqref="A1:XFD1048576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/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/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/>
      <c r="C4" s="12"/>
      <c r="D4" s="23"/>
      <c r="E4" s="23"/>
      <c r="F4" s="23"/>
      <c r="G4" s="23"/>
      <c r="H4" s="23"/>
      <c r="I4" s="24"/>
    </row>
    <row r="5" spans="1:13" ht="15" customHeight="1" x14ac:dyDescent="0.25">
      <c r="A5" s="55"/>
      <c r="B5" s="58"/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/>
      <c r="C6" s="3"/>
      <c r="D6" s="3"/>
      <c r="E6" s="3"/>
      <c r="F6" s="3"/>
      <c r="G6" s="19"/>
      <c r="H6" s="61"/>
      <c r="I6" s="62"/>
    </row>
    <row r="7" spans="1:13" ht="15" customHeight="1" x14ac:dyDescent="0.25">
      <c r="A7" s="55"/>
      <c r="B7" s="7"/>
      <c r="C7" s="32"/>
      <c r="D7" s="32"/>
      <c r="E7" s="3"/>
      <c r="F7" s="3"/>
      <c r="G7" s="19"/>
      <c r="H7" s="63"/>
      <c r="I7" s="64"/>
    </row>
    <row r="8" spans="1:13" ht="15" customHeight="1" x14ac:dyDescent="0.25">
      <c r="A8" s="55"/>
      <c r="B8" s="15"/>
      <c r="C8" s="17"/>
      <c r="D8" s="8"/>
      <c r="E8" s="18"/>
      <c r="F8" s="3"/>
      <c r="G8" s="20"/>
      <c r="H8" s="63"/>
      <c r="I8" s="64"/>
      <c r="M8" s="29"/>
    </row>
    <row r="9" spans="1:13" ht="15" customHeight="1" thickBot="1" x14ac:dyDescent="0.3">
      <c r="A9" s="55"/>
      <c r="B9" s="9"/>
      <c r="C9" s="10"/>
      <c r="D9" s="14"/>
      <c r="E9" s="14"/>
      <c r="F9" s="14"/>
      <c r="G9" s="21"/>
      <c r="H9" s="65"/>
      <c r="I9" s="66"/>
    </row>
    <row r="10" spans="1:13" ht="15" customHeight="1" x14ac:dyDescent="0.25">
      <c r="A10" s="55"/>
      <c r="B10" s="58"/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/>
      <c r="C11" s="3"/>
      <c r="D11" s="3"/>
      <c r="E11" s="3"/>
      <c r="F11" s="3"/>
      <c r="G11" s="19"/>
      <c r="H11" s="39"/>
      <c r="I11" s="67"/>
    </row>
    <row r="12" spans="1:13" ht="15" customHeight="1" thickBot="1" x14ac:dyDescent="0.3">
      <c r="A12" s="55"/>
      <c r="B12" s="9"/>
      <c r="C12" s="14"/>
      <c r="D12" s="14"/>
      <c r="E12" s="14"/>
      <c r="F12" s="14"/>
      <c r="G12" s="21"/>
      <c r="H12" s="40"/>
      <c r="I12" s="68"/>
    </row>
    <row r="13" spans="1:13" ht="15" customHeight="1" x14ac:dyDescent="0.25">
      <c r="A13" s="55"/>
      <c r="B13" s="69"/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/>
      <c r="C14" s="14"/>
      <c r="D14" s="14"/>
      <c r="E14" s="14"/>
      <c r="F14" s="14"/>
      <c r="G14" s="21"/>
      <c r="H14" s="72"/>
      <c r="I14" s="73"/>
    </row>
    <row r="15" spans="1:13" ht="15" customHeight="1" x14ac:dyDescent="0.25">
      <c r="A15" s="55"/>
      <c r="B15" s="58"/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/>
      <c r="C16" s="3"/>
      <c r="D16" s="3"/>
      <c r="E16" s="3"/>
      <c r="F16" s="3"/>
      <c r="G16" s="19"/>
      <c r="H16" s="51"/>
      <c r="I16" s="52"/>
    </row>
    <row r="17" spans="1:9" ht="20.100000000000001" customHeight="1" x14ac:dyDescent="0.25">
      <c r="A17" s="55"/>
      <c r="B17" s="7"/>
      <c r="C17" s="3"/>
      <c r="D17" s="3"/>
      <c r="E17" s="3"/>
      <c r="F17" s="3"/>
      <c r="G17" s="19"/>
      <c r="H17" s="74"/>
      <c r="I17" s="52"/>
    </row>
    <row r="18" spans="1:9" ht="20.100000000000001" customHeight="1" x14ac:dyDescent="0.25">
      <c r="A18" s="55"/>
      <c r="B18" s="7"/>
      <c r="C18" s="3"/>
      <c r="D18" s="3"/>
      <c r="E18" s="3"/>
      <c r="F18" s="3"/>
      <c r="G18" s="19"/>
      <c r="H18" s="75"/>
      <c r="I18" s="52"/>
    </row>
    <row r="19" spans="1:9" ht="20.100000000000001" customHeight="1" thickBot="1" x14ac:dyDescent="0.3">
      <c r="A19" s="55"/>
      <c r="B19" s="9"/>
      <c r="C19" s="10"/>
      <c r="D19" s="14"/>
      <c r="E19" s="14"/>
      <c r="F19" s="14"/>
      <c r="G19" s="21"/>
      <c r="H19" s="40"/>
      <c r="I19" s="54"/>
    </row>
    <row r="20" spans="1:9" ht="15" customHeight="1" x14ac:dyDescent="0.25">
      <c r="A20" s="55"/>
      <c r="B20" s="69"/>
      <c r="C20" s="70"/>
      <c r="D20" s="70"/>
      <c r="E20" s="70"/>
      <c r="F20" s="70"/>
      <c r="G20" s="70"/>
      <c r="H20" s="70"/>
      <c r="I20" s="71"/>
    </row>
    <row r="21" spans="1:9" ht="15" customHeight="1" x14ac:dyDescent="0.25">
      <c r="A21" s="55"/>
      <c r="B21" s="7"/>
      <c r="C21" s="8"/>
      <c r="D21" s="8"/>
      <c r="E21" s="8"/>
      <c r="F21" s="8"/>
      <c r="G21" s="22"/>
      <c r="H21" s="51"/>
      <c r="I21" s="52"/>
    </row>
    <row r="22" spans="1:9" ht="15" customHeight="1" x14ac:dyDescent="0.25">
      <c r="A22" s="55"/>
      <c r="B22" s="7"/>
      <c r="C22" s="8"/>
      <c r="D22" s="8"/>
      <c r="E22" s="8"/>
      <c r="F22" s="8"/>
      <c r="G22" s="22"/>
      <c r="H22" s="51"/>
      <c r="I22" s="52"/>
    </row>
    <row r="23" spans="1:9" ht="15" customHeight="1" x14ac:dyDescent="0.25">
      <c r="A23" s="55"/>
      <c r="B23" s="7"/>
      <c r="C23" s="8"/>
      <c r="D23" s="8"/>
      <c r="E23" s="8"/>
      <c r="F23" s="8"/>
      <c r="G23" s="22"/>
      <c r="H23" s="51"/>
      <c r="I23" s="52"/>
    </row>
    <row r="24" spans="1:9" ht="15" customHeight="1" thickBot="1" x14ac:dyDescent="0.3">
      <c r="A24" s="55"/>
      <c r="B24" s="9"/>
      <c r="C24" s="10"/>
      <c r="D24" s="10"/>
      <c r="E24" s="10"/>
      <c r="F24" s="10"/>
      <c r="G24" s="31"/>
      <c r="H24" s="53"/>
      <c r="I24" s="54"/>
    </row>
    <row r="25" spans="1:9" ht="15" customHeight="1" x14ac:dyDescent="0.25">
      <c r="A25" s="55"/>
      <c r="B25" s="46"/>
      <c r="C25" s="47"/>
      <c r="D25" s="47"/>
      <c r="E25" s="47"/>
      <c r="F25" s="47"/>
      <c r="G25" s="47"/>
      <c r="H25" s="47"/>
      <c r="I25" s="48"/>
    </row>
    <row r="26" spans="1:9" ht="15" customHeight="1" x14ac:dyDescent="0.25">
      <c r="A26" s="55"/>
      <c r="B26" s="30"/>
      <c r="C26" s="3"/>
      <c r="D26" s="3"/>
      <c r="E26" s="3"/>
      <c r="F26" s="3"/>
      <c r="G26" s="3"/>
      <c r="H26" s="49"/>
      <c r="I26" s="41"/>
    </row>
    <row r="27" spans="1:9" ht="15" customHeight="1" thickBot="1" x14ac:dyDescent="0.3">
      <c r="A27" s="55"/>
      <c r="B27" s="25"/>
      <c r="C27" s="16"/>
      <c r="D27" s="16"/>
      <c r="E27" s="16"/>
      <c r="F27" s="16"/>
      <c r="G27" s="16"/>
      <c r="H27" s="50"/>
      <c r="I27" s="42"/>
    </row>
    <row r="28" spans="1:9" ht="15" customHeight="1" x14ac:dyDescent="0.25">
      <c r="A28" s="55"/>
      <c r="B28" s="34"/>
      <c r="C28" s="35"/>
      <c r="D28" s="35"/>
      <c r="E28" s="35"/>
      <c r="F28" s="35"/>
      <c r="G28" s="35"/>
      <c r="H28" s="35"/>
      <c r="I28" s="36"/>
    </row>
    <row r="29" spans="1:9" ht="15" customHeight="1" x14ac:dyDescent="0.25">
      <c r="A29" s="55"/>
      <c r="B29" s="30"/>
      <c r="C29" s="3"/>
      <c r="D29" s="3"/>
      <c r="E29" s="3"/>
      <c r="F29" s="3"/>
      <c r="G29" s="3"/>
      <c r="H29" s="49"/>
      <c r="I29" s="41"/>
    </row>
    <row r="30" spans="1:9" ht="15" customHeight="1" thickBot="1" x14ac:dyDescent="0.3">
      <c r="A30" s="55"/>
      <c r="B30" s="25"/>
      <c r="C30" s="14"/>
      <c r="D30" s="14"/>
      <c r="E30" s="14"/>
      <c r="F30" s="14"/>
      <c r="G30" s="14"/>
      <c r="H30" s="50"/>
      <c r="I30" s="42"/>
    </row>
    <row r="31" spans="1:9" ht="15" customHeight="1" x14ac:dyDescent="0.25">
      <c r="A31" s="55"/>
      <c r="B31" s="34"/>
      <c r="C31" s="35"/>
      <c r="D31" s="35"/>
      <c r="E31" s="35"/>
      <c r="F31" s="35"/>
      <c r="G31" s="35"/>
      <c r="H31" s="35"/>
      <c r="I31" s="36"/>
    </row>
    <row r="32" spans="1:9" ht="15" customHeight="1" x14ac:dyDescent="0.25">
      <c r="A32" s="55"/>
      <c r="B32" s="30"/>
      <c r="C32" s="3"/>
      <c r="D32" s="3"/>
      <c r="E32" s="3"/>
      <c r="F32" s="3"/>
      <c r="G32" s="3"/>
      <c r="H32" s="49"/>
      <c r="I32" s="41"/>
    </row>
    <row r="33" spans="1:9" ht="15" customHeight="1" thickBot="1" x14ac:dyDescent="0.3">
      <c r="A33" s="55"/>
      <c r="B33" s="13"/>
      <c r="C33" s="14"/>
      <c r="D33" s="14"/>
      <c r="E33" s="14"/>
      <c r="F33" s="14"/>
      <c r="G33" s="14"/>
      <c r="H33" s="50"/>
      <c r="I33" s="42"/>
    </row>
    <row r="34" spans="1:9" ht="15" customHeight="1" x14ac:dyDescent="0.25">
      <c r="A34" s="55"/>
      <c r="B34" s="46"/>
      <c r="C34" s="47"/>
      <c r="D34" s="47"/>
      <c r="E34" s="47"/>
      <c r="F34" s="47"/>
      <c r="G34" s="47"/>
      <c r="H34" s="47"/>
      <c r="I34" s="48"/>
    </row>
    <row r="35" spans="1:9" ht="15" customHeight="1" x14ac:dyDescent="0.25">
      <c r="A35" s="55"/>
      <c r="B35" s="25"/>
      <c r="C35" s="26"/>
      <c r="D35" s="26"/>
      <c r="E35" s="26"/>
      <c r="F35" s="26"/>
      <c r="G35" s="26"/>
      <c r="H35" s="49"/>
      <c r="I35" s="41"/>
    </row>
    <row r="36" spans="1:9" ht="15" customHeight="1" thickBot="1" x14ac:dyDescent="0.3">
      <c r="A36" s="55"/>
      <c r="B36" s="43"/>
      <c r="C36" s="44"/>
      <c r="D36" s="44"/>
      <c r="E36" s="44"/>
      <c r="F36" s="45"/>
      <c r="G36" s="14"/>
      <c r="H36" s="50"/>
      <c r="I36" s="42"/>
    </row>
    <row r="37" spans="1:9" ht="15" customHeight="1" x14ac:dyDescent="0.25">
      <c r="A37" s="55"/>
      <c r="B37" s="34"/>
      <c r="C37" s="35"/>
      <c r="D37" s="35"/>
      <c r="E37" s="35"/>
      <c r="F37" s="35"/>
      <c r="G37" s="35"/>
      <c r="H37" s="35"/>
      <c r="I37" s="36"/>
    </row>
    <row r="38" spans="1:9" ht="15" customHeight="1" x14ac:dyDescent="0.25">
      <c r="A38" s="55"/>
      <c r="B38" s="25"/>
      <c r="C38" s="26"/>
      <c r="D38" s="26"/>
      <c r="E38" s="26"/>
      <c r="F38" s="26"/>
      <c r="G38" s="26"/>
      <c r="H38" s="39"/>
      <c r="I38" s="41"/>
    </row>
    <row r="39" spans="1:9" ht="15" customHeight="1" thickBot="1" x14ac:dyDescent="0.3">
      <c r="A39" s="55"/>
      <c r="B39" s="43"/>
      <c r="C39" s="44"/>
      <c r="D39" s="44"/>
      <c r="E39" s="44"/>
      <c r="F39" s="45"/>
      <c r="G39" s="14"/>
      <c r="H39" s="40"/>
      <c r="I39" s="42"/>
    </row>
    <row r="40" spans="1:9" ht="15" customHeight="1" x14ac:dyDescent="0.25">
      <c r="A40" s="55"/>
      <c r="B40" s="34"/>
      <c r="C40" s="35"/>
      <c r="D40" s="35"/>
      <c r="E40" s="35"/>
      <c r="F40" s="35"/>
      <c r="G40" s="35"/>
      <c r="H40" s="35"/>
      <c r="I40" s="36"/>
    </row>
    <row r="41" spans="1:9" ht="15" customHeight="1" x14ac:dyDescent="0.25">
      <c r="A41" s="55"/>
      <c r="B41" s="25"/>
      <c r="C41" s="26"/>
      <c r="D41" s="26"/>
      <c r="E41" s="26"/>
      <c r="F41" s="26"/>
      <c r="G41" s="26"/>
      <c r="H41" s="39"/>
      <c r="I41" s="41"/>
    </row>
    <row r="42" spans="1:9" ht="15" customHeight="1" thickBot="1" x14ac:dyDescent="0.3">
      <c r="A42" s="55"/>
      <c r="B42" s="43"/>
      <c r="C42" s="44"/>
      <c r="D42" s="44"/>
      <c r="E42" s="44"/>
      <c r="F42" s="45"/>
      <c r="G42" s="14"/>
      <c r="H42" s="40"/>
      <c r="I42" s="42"/>
    </row>
    <row r="43" spans="1:9" ht="15" customHeight="1" x14ac:dyDescent="0.25">
      <c r="A43" s="55"/>
      <c r="B43" s="34"/>
      <c r="C43" s="35"/>
      <c r="D43" s="35"/>
      <c r="E43" s="35"/>
      <c r="F43" s="35"/>
      <c r="G43" s="35"/>
      <c r="H43" s="35"/>
      <c r="I43" s="36"/>
    </row>
    <row r="44" spans="1:9" ht="27.75" customHeight="1" thickBot="1" x14ac:dyDescent="0.3">
      <c r="A44" s="55"/>
      <c r="B44" s="13"/>
      <c r="C44" s="27"/>
      <c r="D44" s="27"/>
      <c r="E44" s="27"/>
      <c r="F44" s="27"/>
      <c r="G44" s="27"/>
      <c r="H44" s="33"/>
      <c r="I44" s="28"/>
    </row>
    <row r="45" spans="1:9" ht="23.25" customHeight="1" x14ac:dyDescent="0.25">
      <c r="A45" s="55"/>
      <c r="B45" s="37"/>
      <c r="C45" s="37"/>
      <c r="D45" s="37"/>
      <c r="E45" s="37"/>
      <c r="F45" s="37"/>
      <c r="G45" s="37"/>
      <c r="H45" s="37"/>
      <c r="I45" s="37"/>
    </row>
    <row r="46" spans="1:9" ht="34.5" customHeight="1" x14ac:dyDescent="0.25">
      <c r="A46" s="55"/>
      <c r="B46" s="38"/>
      <c r="C46" s="38"/>
      <c r="D46" s="38"/>
      <c r="E46" s="38"/>
      <c r="F46" s="38"/>
      <c r="G46" s="38"/>
      <c r="H46" s="38"/>
      <c r="I46" s="38"/>
    </row>
  </sheetData>
  <mergeCells count="43">
    <mergeCell ref="B20:I20"/>
    <mergeCell ref="A1:A46"/>
    <mergeCell ref="B1:I1"/>
    <mergeCell ref="B2:I2"/>
    <mergeCell ref="B3:I3"/>
    <mergeCell ref="B5:I5"/>
    <mergeCell ref="H6:I9"/>
    <mergeCell ref="B10:I10"/>
    <mergeCell ref="H11:H12"/>
    <mergeCell ref="I11:I12"/>
    <mergeCell ref="B13:I13"/>
    <mergeCell ref="H14:I14"/>
    <mergeCell ref="B15:I15"/>
    <mergeCell ref="H16:I16"/>
    <mergeCell ref="H17:H19"/>
    <mergeCell ref="I17:I19"/>
    <mergeCell ref="H21:I21"/>
    <mergeCell ref="H22:H24"/>
    <mergeCell ref="I22:I24"/>
    <mergeCell ref="B25:I25"/>
    <mergeCell ref="H26:H27"/>
    <mergeCell ref="I26:I27"/>
    <mergeCell ref="H38:H39"/>
    <mergeCell ref="I38:I39"/>
    <mergeCell ref="B39:F39"/>
    <mergeCell ref="B28:I28"/>
    <mergeCell ref="H29:H30"/>
    <mergeCell ref="I29:I30"/>
    <mergeCell ref="B31:I31"/>
    <mergeCell ref="H32:H33"/>
    <mergeCell ref="I32:I33"/>
    <mergeCell ref="B34:I34"/>
    <mergeCell ref="H35:H36"/>
    <mergeCell ref="I35:I36"/>
    <mergeCell ref="B36:F36"/>
    <mergeCell ref="B37:I37"/>
    <mergeCell ref="B46:I46"/>
    <mergeCell ref="B40:I40"/>
    <mergeCell ref="H41:H42"/>
    <mergeCell ref="I41:I42"/>
    <mergeCell ref="B42:F42"/>
    <mergeCell ref="B43:I43"/>
    <mergeCell ref="B45:I4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68EC-7BEE-45EA-9EC6-FA134B051693}">
  <dimension ref="A1:M46"/>
  <sheetViews>
    <sheetView workbookViewId="0">
      <selection sqref="A1:XFD1048576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/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/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/>
      <c r="C4" s="12"/>
      <c r="D4" s="23"/>
      <c r="E4" s="23"/>
      <c r="F4" s="23"/>
      <c r="G4" s="23"/>
      <c r="H4" s="23"/>
      <c r="I4" s="24"/>
    </row>
    <row r="5" spans="1:13" ht="15" customHeight="1" x14ac:dyDescent="0.25">
      <c r="A5" s="55"/>
      <c r="B5" s="58"/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/>
      <c r="C6" s="3"/>
      <c r="D6" s="3"/>
      <c r="E6" s="3"/>
      <c r="F6" s="3"/>
      <c r="G6" s="19"/>
      <c r="H6" s="61"/>
      <c r="I6" s="62"/>
    </row>
    <row r="7" spans="1:13" ht="15" customHeight="1" x14ac:dyDescent="0.25">
      <c r="A7" s="55"/>
      <c r="B7" s="7"/>
      <c r="C7" s="32"/>
      <c r="D7" s="32"/>
      <c r="E7" s="3"/>
      <c r="F7" s="3"/>
      <c r="G7" s="19"/>
      <c r="H7" s="63"/>
      <c r="I7" s="64"/>
    </row>
    <row r="8" spans="1:13" ht="15" customHeight="1" x14ac:dyDescent="0.25">
      <c r="A8" s="55"/>
      <c r="B8" s="15"/>
      <c r="C8" s="17"/>
      <c r="D8" s="8"/>
      <c r="E8" s="18"/>
      <c r="F8" s="3"/>
      <c r="G8" s="20"/>
      <c r="H8" s="63"/>
      <c r="I8" s="64"/>
      <c r="M8" s="29"/>
    </row>
    <row r="9" spans="1:13" ht="15" customHeight="1" thickBot="1" x14ac:dyDescent="0.3">
      <c r="A9" s="55"/>
      <c r="B9" s="9"/>
      <c r="C9" s="10"/>
      <c r="D9" s="14"/>
      <c r="E9" s="14"/>
      <c r="F9" s="14"/>
      <c r="G9" s="21"/>
      <c r="H9" s="65"/>
      <c r="I9" s="66"/>
    </row>
    <row r="10" spans="1:13" ht="15" customHeight="1" x14ac:dyDescent="0.25">
      <c r="A10" s="55"/>
      <c r="B10" s="58"/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/>
      <c r="C11" s="3"/>
      <c r="D11" s="3"/>
      <c r="E11" s="3"/>
      <c r="F11" s="3"/>
      <c r="G11" s="19"/>
      <c r="H11" s="39"/>
      <c r="I11" s="67"/>
    </row>
    <row r="12" spans="1:13" ht="15" customHeight="1" thickBot="1" x14ac:dyDescent="0.3">
      <c r="A12" s="55"/>
      <c r="B12" s="9"/>
      <c r="C12" s="14"/>
      <c r="D12" s="14"/>
      <c r="E12" s="14"/>
      <c r="F12" s="14"/>
      <c r="G12" s="21"/>
      <c r="H12" s="40"/>
      <c r="I12" s="68"/>
    </row>
    <row r="13" spans="1:13" ht="15" customHeight="1" x14ac:dyDescent="0.25">
      <c r="A13" s="55"/>
      <c r="B13" s="69"/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/>
      <c r="C14" s="14"/>
      <c r="D14" s="14"/>
      <c r="E14" s="14"/>
      <c r="F14" s="14"/>
      <c r="G14" s="21"/>
      <c r="H14" s="72"/>
      <c r="I14" s="73"/>
    </row>
    <row r="15" spans="1:13" ht="15" customHeight="1" x14ac:dyDescent="0.25">
      <c r="A15" s="55"/>
      <c r="B15" s="58"/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/>
      <c r="C16" s="3"/>
      <c r="D16" s="3"/>
      <c r="E16" s="3"/>
      <c r="F16" s="3"/>
      <c r="G16" s="19"/>
      <c r="H16" s="51"/>
      <c r="I16" s="52"/>
    </row>
    <row r="17" spans="1:9" ht="20.100000000000001" customHeight="1" x14ac:dyDescent="0.25">
      <c r="A17" s="55"/>
      <c r="B17" s="7"/>
      <c r="C17" s="3"/>
      <c r="D17" s="3"/>
      <c r="E17" s="3"/>
      <c r="F17" s="3"/>
      <c r="G17" s="19"/>
      <c r="H17" s="74"/>
      <c r="I17" s="52"/>
    </row>
    <row r="18" spans="1:9" ht="20.100000000000001" customHeight="1" x14ac:dyDescent="0.25">
      <c r="A18" s="55"/>
      <c r="B18" s="7"/>
      <c r="C18" s="3"/>
      <c r="D18" s="3"/>
      <c r="E18" s="3"/>
      <c r="F18" s="3"/>
      <c r="G18" s="19"/>
      <c r="H18" s="75"/>
      <c r="I18" s="52"/>
    </row>
    <row r="19" spans="1:9" ht="20.100000000000001" customHeight="1" thickBot="1" x14ac:dyDescent="0.3">
      <c r="A19" s="55"/>
      <c r="B19" s="9"/>
      <c r="C19" s="10"/>
      <c r="D19" s="14"/>
      <c r="E19" s="14"/>
      <c r="F19" s="14"/>
      <c r="G19" s="21"/>
      <c r="H19" s="40"/>
      <c r="I19" s="54"/>
    </row>
    <row r="20" spans="1:9" ht="15" customHeight="1" x14ac:dyDescent="0.25">
      <c r="A20" s="55"/>
      <c r="B20" s="69"/>
      <c r="C20" s="70"/>
      <c r="D20" s="70"/>
      <c r="E20" s="70"/>
      <c r="F20" s="70"/>
      <c r="G20" s="70"/>
      <c r="H20" s="70"/>
      <c r="I20" s="71"/>
    </row>
    <row r="21" spans="1:9" ht="15" customHeight="1" x14ac:dyDescent="0.25">
      <c r="A21" s="55"/>
      <c r="B21" s="7"/>
      <c r="C21" s="8"/>
      <c r="D21" s="8"/>
      <c r="E21" s="8"/>
      <c r="F21" s="8"/>
      <c r="G21" s="22"/>
      <c r="H21" s="51"/>
      <c r="I21" s="52"/>
    </row>
    <row r="22" spans="1:9" ht="15" customHeight="1" x14ac:dyDescent="0.25">
      <c r="A22" s="55"/>
      <c r="B22" s="7"/>
      <c r="C22" s="8"/>
      <c r="D22" s="8"/>
      <c r="E22" s="8"/>
      <c r="F22" s="8"/>
      <c r="G22" s="22"/>
      <c r="H22" s="51"/>
      <c r="I22" s="52"/>
    </row>
    <row r="23" spans="1:9" ht="15" customHeight="1" x14ac:dyDescent="0.25">
      <c r="A23" s="55"/>
      <c r="B23" s="7"/>
      <c r="C23" s="8"/>
      <c r="D23" s="8"/>
      <c r="E23" s="8"/>
      <c r="F23" s="8"/>
      <c r="G23" s="22"/>
      <c r="H23" s="51"/>
      <c r="I23" s="52"/>
    </row>
    <row r="24" spans="1:9" ht="15" customHeight="1" thickBot="1" x14ac:dyDescent="0.3">
      <c r="A24" s="55"/>
      <c r="B24" s="9"/>
      <c r="C24" s="10"/>
      <c r="D24" s="10"/>
      <c r="E24" s="10"/>
      <c r="F24" s="10"/>
      <c r="G24" s="31"/>
      <c r="H24" s="53"/>
      <c r="I24" s="54"/>
    </row>
    <row r="25" spans="1:9" ht="15" customHeight="1" x14ac:dyDescent="0.25">
      <c r="A25" s="55"/>
      <c r="B25" s="46"/>
      <c r="C25" s="47"/>
      <c r="D25" s="47"/>
      <c r="E25" s="47"/>
      <c r="F25" s="47"/>
      <c r="G25" s="47"/>
      <c r="H25" s="47"/>
      <c r="I25" s="48"/>
    </row>
    <row r="26" spans="1:9" ht="15" customHeight="1" x14ac:dyDescent="0.25">
      <c r="A26" s="55"/>
      <c r="B26" s="30"/>
      <c r="C26" s="3"/>
      <c r="D26" s="3"/>
      <c r="E26" s="3"/>
      <c r="F26" s="3"/>
      <c r="G26" s="3"/>
      <c r="H26" s="49"/>
      <c r="I26" s="41"/>
    </row>
    <row r="27" spans="1:9" ht="15" customHeight="1" thickBot="1" x14ac:dyDescent="0.3">
      <c r="A27" s="55"/>
      <c r="B27" s="25"/>
      <c r="C27" s="16"/>
      <c r="D27" s="16"/>
      <c r="E27" s="16"/>
      <c r="F27" s="16"/>
      <c r="G27" s="16"/>
      <c r="H27" s="50"/>
      <c r="I27" s="42"/>
    </row>
    <row r="28" spans="1:9" ht="15" customHeight="1" x14ac:dyDescent="0.25">
      <c r="A28" s="55"/>
      <c r="B28" s="34"/>
      <c r="C28" s="35"/>
      <c r="D28" s="35"/>
      <c r="E28" s="35"/>
      <c r="F28" s="35"/>
      <c r="G28" s="35"/>
      <c r="H28" s="35"/>
      <c r="I28" s="36"/>
    </row>
    <row r="29" spans="1:9" ht="15" customHeight="1" x14ac:dyDescent="0.25">
      <c r="A29" s="55"/>
      <c r="B29" s="30"/>
      <c r="C29" s="3"/>
      <c r="D29" s="3"/>
      <c r="E29" s="3"/>
      <c r="F29" s="3"/>
      <c r="G29" s="3"/>
      <c r="H29" s="49"/>
      <c r="I29" s="41"/>
    </row>
    <row r="30" spans="1:9" ht="15" customHeight="1" thickBot="1" x14ac:dyDescent="0.3">
      <c r="A30" s="55"/>
      <c r="B30" s="25"/>
      <c r="C30" s="14"/>
      <c r="D30" s="14"/>
      <c r="E30" s="14"/>
      <c r="F30" s="14"/>
      <c r="G30" s="14"/>
      <c r="H30" s="50"/>
      <c r="I30" s="42"/>
    </row>
    <row r="31" spans="1:9" ht="15" customHeight="1" x14ac:dyDescent="0.25">
      <c r="A31" s="55"/>
      <c r="B31" s="34"/>
      <c r="C31" s="35"/>
      <c r="D31" s="35"/>
      <c r="E31" s="35"/>
      <c r="F31" s="35"/>
      <c r="G31" s="35"/>
      <c r="H31" s="35"/>
      <c r="I31" s="36"/>
    </row>
    <row r="32" spans="1:9" ht="15" customHeight="1" x14ac:dyDescent="0.25">
      <c r="A32" s="55"/>
      <c r="B32" s="30"/>
      <c r="C32" s="3"/>
      <c r="D32" s="3"/>
      <c r="E32" s="3"/>
      <c r="F32" s="3"/>
      <c r="G32" s="3"/>
      <c r="H32" s="49"/>
      <c r="I32" s="41"/>
    </row>
    <row r="33" spans="1:9" ht="15" customHeight="1" thickBot="1" x14ac:dyDescent="0.3">
      <c r="A33" s="55"/>
      <c r="B33" s="13"/>
      <c r="C33" s="14"/>
      <c r="D33" s="14"/>
      <c r="E33" s="14"/>
      <c r="F33" s="14"/>
      <c r="G33" s="14"/>
      <c r="H33" s="50"/>
      <c r="I33" s="42"/>
    </row>
    <row r="34" spans="1:9" ht="15" customHeight="1" x14ac:dyDescent="0.25">
      <c r="A34" s="55"/>
      <c r="B34" s="46"/>
      <c r="C34" s="47"/>
      <c r="D34" s="47"/>
      <c r="E34" s="47"/>
      <c r="F34" s="47"/>
      <c r="G34" s="47"/>
      <c r="H34" s="47"/>
      <c r="I34" s="48"/>
    </row>
    <row r="35" spans="1:9" ht="15" customHeight="1" x14ac:dyDescent="0.25">
      <c r="A35" s="55"/>
      <c r="B35" s="25"/>
      <c r="C35" s="26"/>
      <c r="D35" s="26"/>
      <c r="E35" s="26"/>
      <c r="F35" s="26"/>
      <c r="G35" s="26"/>
      <c r="H35" s="49"/>
      <c r="I35" s="41"/>
    </row>
    <row r="36" spans="1:9" ht="15" customHeight="1" thickBot="1" x14ac:dyDescent="0.3">
      <c r="A36" s="55"/>
      <c r="B36" s="43"/>
      <c r="C36" s="44"/>
      <c r="D36" s="44"/>
      <c r="E36" s="44"/>
      <c r="F36" s="45"/>
      <c r="G36" s="14"/>
      <c r="H36" s="50"/>
      <c r="I36" s="42"/>
    </row>
    <row r="37" spans="1:9" ht="15" customHeight="1" x14ac:dyDescent="0.25">
      <c r="A37" s="55"/>
      <c r="B37" s="34"/>
      <c r="C37" s="35"/>
      <c r="D37" s="35"/>
      <c r="E37" s="35"/>
      <c r="F37" s="35"/>
      <c r="G37" s="35"/>
      <c r="H37" s="35"/>
      <c r="I37" s="36"/>
    </row>
    <row r="38" spans="1:9" ht="15" customHeight="1" x14ac:dyDescent="0.25">
      <c r="A38" s="55"/>
      <c r="B38" s="25"/>
      <c r="C38" s="26"/>
      <c r="D38" s="26"/>
      <c r="E38" s="26"/>
      <c r="F38" s="26"/>
      <c r="G38" s="26"/>
      <c r="H38" s="39"/>
      <c r="I38" s="41"/>
    </row>
    <row r="39" spans="1:9" ht="15" customHeight="1" thickBot="1" x14ac:dyDescent="0.3">
      <c r="A39" s="55"/>
      <c r="B39" s="43"/>
      <c r="C39" s="44"/>
      <c r="D39" s="44"/>
      <c r="E39" s="44"/>
      <c r="F39" s="45"/>
      <c r="G39" s="14"/>
      <c r="H39" s="40"/>
      <c r="I39" s="42"/>
    </row>
    <row r="40" spans="1:9" ht="15" customHeight="1" x14ac:dyDescent="0.25">
      <c r="A40" s="55"/>
      <c r="B40" s="34"/>
      <c r="C40" s="35"/>
      <c r="D40" s="35"/>
      <c r="E40" s="35"/>
      <c r="F40" s="35"/>
      <c r="G40" s="35"/>
      <c r="H40" s="35"/>
      <c r="I40" s="36"/>
    </row>
    <row r="41" spans="1:9" ht="15" customHeight="1" x14ac:dyDescent="0.25">
      <c r="A41" s="55"/>
      <c r="B41" s="25"/>
      <c r="C41" s="26"/>
      <c r="D41" s="26"/>
      <c r="E41" s="26"/>
      <c r="F41" s="26"/>
      <c r="G41" s="26"/>
      <c r="H41" s="39"/>
      <c r="I41" s="41"/>
    </row>
    <row r="42" spans="1:9" ht="15" customHeight="1" thickBot="1" x14ac:dyDescent="0.3">
      <c r="A42" s="55"/>
      <c r="B42" s="43"/>
      <c r="C42" s="44"/>
      <c r="D42" s="44"/>
      <c r="E42" s="44"/>
      <c r="F42" s="45"/>
      <c r="G42" s="14"/>
      <c r="H42" s="40"/>
      <c r="I42" s="42"/>
    </row>
    <row r="43" spans="1:9" ht="15" customHeight="1" x14ac:dyDescent="0.25">
      <c r="A43" s="55"/>
      <c r="B43" s="34"/>
      <c r="C43" s="35"/>
      <c r="D43" s="35"/>
      <c r="E43" s="35"/>
      <c r="F43" s="35"/>
      <c r="G43" s="35"/>
      <c r="H43" s="35"/>
      <c r="I43" s="36"/>
    </row>
    <row r="44" spans="1:9" ht="27.75" customHeight="1" thickBot="1" x14ac:dyDescent="0.3">
      <c r="A44" s="55"/>
      <c r="B44" s="13"/>
      <c r="C44" s="27"/>
      <c r="D44" s="27"/>
      <c r="E44" s="27"/>
      <c r="F44" s="27"/>
      <c r="G44" s="27"/>
      <c r="H44" s="33"/>
      <c r="I44" s="28"/>
    </row>
    <row r="45" spans="1:9" ht="23.25" customHeight="1" x14ac:dyDescent="0.25">
      <c r="A45" s="55"/>
      <c r="B45" s="37"/>
      <c r="C45" s="37"/>
      <c r="D45" s="37"/>
      <c r="E45" s="37"/>
      <c r="F45" s="37"/>
      <c r="G45" s="37"/>
      <c r="H45" s="37"/>
      <c r="I45" s="37"/>
    </row>
    <row r="46" spans="1:9" ht="34.5" customHeight="1" x14ac:dyDescent="0.25">
      <c r="A46" s="55"/>
      <c r="B46" s="38"/>
      <c r="C46" s="38"/>
      <c r="D46" s="38"/>
      <c r="E46" s="38"/>
      <c r="F46" s="38"/>
      <c r="G46" s="38"/>
      <c r="H46" s="38"/>
      <c r="I46" s="38"/>
    </row>
  </sheetData>
  <mergeCells count="43">
    <mergeCell ref="B46:I46"/>
    <mergeCell ref="B40:I40"/>
    <mergeCell ref="H41:H42"/>
    <mergeCell ref="I41:I42"/>
    <mergeCell ref="B42:F42"/>
    <mergeCell ref="B43:I43"/>
    <mergeCell ref="B45:I45"/>
    <mergeCell ref="H38:H39"/>
    <mergeCell ref="I38:I39"/>
    <mergeCell ref="B39:F39"/>
    <mergeCell ref="B28:I28"/>
    <mergeCell ref="H29:H30"/>
    <mergeCell ref="I29:I30"/>
    <mergeCell ref="B31:I31"/>
    <mergeCell ref="H32:H33"/>
    <mergeCell ref="I32:I33"/>
    <mergeCell ref="B34:I34"/>
    <mergeCell ref="H35:H36"/>
    <mergeCell ref="I35:I36"/>
    <mergeCell ref="B36:F36"/>
    <mergeCell ref="B37:I37"/>
    <mergeCell ref="H21:I21"/>
    <mergeCell ref="H22:H24"/>
    <mergeCell ref="I22:I24"/>
    <mergeCell ref="B25:I25"/>
    <mergeCell ref="H26:H27"/>
    <mergeCell ref="I26:I27"/>
    <mergeCell ref="B20:I20"/>
    <mergeCell ref="A1:A46"/>
    <mergeCell ref="B1:I1"/>
    <mergeCell ref="B2:I2"/>
    <mergeCell ref="B3:I3"/>
    <mergeCell ref="B5:I5"/>
    <mergeCell ref="H6:I9"/>
    <mergeCell ref="B10:I10"/>
    <mergeCell ref="H11:H12"/>
    <mergeCell ref="I11:I12"/>
    <mergeCell ref="B13:I13"/>
    <mergeCell ref="H14:I14"/>
    <mergeCell ref="B15:I15"/>
    <mergeCell ref="H16:I16"/>
    <mergeCell ref="H17:H19"/>
    <mergeCell ref="I17:I1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965F-CFF0-4DE2-9135-C10A01A6C181}">
  <dimension ref="A1:M46"/>
  <sheetViews>
    <sheetView workbookViewId="0">
      <selection sqref="A1:XFD1048576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/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/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/>
      <c r="C4" s="12"/>
      <c r="D4" s="23"/>
      <c r="E4" s="23"/>
      <c r="F4" s="23"/>
      <c r="G4" s="23"/>
      <c r="H4" s="23"/>
      <c r="I4" s="24"/>
    </row>
    <row r="5" spans="1:13" ht="15" customHeight="1" x14ac:dyDescent="0.25">
      <c r="A5" s="55"/>
      <c r="B5" s="58"/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/>
      <c r="C6" s="3"/>
      <c r="D6" s="3"/>
      <c r="E6" s="3"/>
      <c r="F6" s="3"/>
      <c r="G6" s="19"/>
      <c r="H6" s="61"/>
      <c r="I6" s="62"/>
    </row>
    <row r="7" spans="1:13" ht="15" customHeight="1" x14ac:dyDescent="0.25">
      <c r="A7" s="55"/>
      <c r="B7" s="7"/>
      <c r="C7" s="32"/>
      <c r="D7" s="32"/>
      <c r="E7" s="3"/>
      <c r="F7" s="3"/>
      <c r="G7" s="19"/>
      <c r="H7" s="63"/>
      <c r="I7" s="64"/>
    </row>
    <row r="8" spans="1:13" ht="15" customHeight="1" x14ac:dyDescent="0.25">
      <c r="A8" s="55"/>
      <c r="B8" s="15"/>
      <c r="C8" s="17"/>
      <c r="D8" s="8"/>
      <c r="E8" s="18"/>
      <c r="F8" s="3"/>
      <c r="G8" s="20"/>
      <c r="H8" s="63"/>
      <c r="I8" s="64"/>
      <c r="M8" s="29"/>
    </row>
    <row r="9" spans="1:13" ht="15" customHeight="1" thickBot="1" x14ac:dyDescent="0.3">
      <c r="A9" s="55"/>
      <c r="B9" s="9"/>
      <c r="C9" s="10"/>
      <c r="D9" s="14"/>
      <c r="E9" s="14"/>
      <c r="F9" s="14"/>
      <c r="G9" s="21"/>
      <c r="H9" s="65"/>
      <c r="I9" s="66"/>
    </row>
    <row r="10" spans="1:13" ht="15" customHeight="1" x14ac:dyDescent="0.25">
      <c r="A10" s="55"/>
      <c r="B10" s="58"/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/>
      <c r="C11" s="3"/>
      <c r="D11" s="3"/>
      <c r="E11" s="3"/>
      <c r="F11" s="3"/>
      <c r="G11" s="19"/>
      <c r="H11" s="39"/>
      <c r="I11" s="67"/>
    </row>
    <row r="12" spans="1:13" ht="15" customHeight="1" thickBot="1" x14ac:dyDescent="0.3">
      <c r="A12" s="55"/>
      <c r="B12" s="9"/>
      <c r="C12" s="14"/>
      <c r="D12" s="14"/>
      <c r="E12" s="14"/>
      <c r="F12" s="14"/>
      <c r="G12" s="21"/>
      <c r="H12" s="40"/>
      <c r="I12" s="68"/>
    </row>
    <row r="13" spans="1:13" ht="15" customHeight="1" x14ac:dyDescent="0.25">
      <c r="A13" s="55"/>
      <c r="B13" s="69"/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/>
      <c r="C14" s="14"/>
      <c r="D14" s="14"/>
      <c r="E14" s="14"/>
      <c r="F14" s="14"/>
      <c r="G14" s="21"/>
      <c r="H14" s="72"/>
      <c r="I14" s="73"/>
    </row>
    <row r="15" spans="1:13" ht="15" customHeight="1" x14ac:dyDescent="0.25">
      <c r="A15" s="55"/>
      <c r="B15" s="58"/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/>
      <c r="C16" s="3"/>
      <c r="D16" s="3"/>
      <c r="E16" s="3"/>
      <c r="F16" s="3"/>
      <c r="G16" s="19"/>
      <c r="H16" s="51"/>
      <c r="I16" s="52"/>
    </row>
    <row r="17" spans="1:9" ht="20.100000000000001" customHeight="1" x14ac:dyDescent="0.25">
      <c r="A17" s="55"/>
      <c r="B17" s="7"/>
      <c r="C17" s="3"/>
      <c r="D17" s="3"/>
      <c r="E17" s="3"/>
      <c r="F17" s="3"/>
      <c r="G17" s="19"/>
      <c r="H17" s="74"/>
      <c r="I17" s="52"/>
    </row>
    <row r="18" spans="1:9" ht="20.100000000000001" customHeight="1" x14ac:dyDescent="0.25">
      <c r="A18" s="55"/>
      <c r="B18" s="7"/>
      <c r="C18" s="3"/>
      <c r="D18" s="3"/>
      <c r="E18" s="3"/>
      <c r="F18" s="3"/>
      <c r="G18" s="19"/>
      <c r="H18" s="75"/>
      <c r="I18" s="52"/>
    </row>
    <row r="19" spans="1:9" ht="20.100000000000001" customHeight="1" thickBot="1" x14ac:dyDescent="0.3">
      <c r="A19" s="55"/>
      <c r="B19" s="9"/>
      <c r="C19" s="10"/>
      <c r="D19" s="14"/>
      <c r="E19" s="14"/>
      <c r="F19" s="14"/>
      <c r="G19" s="21"/>
      <c r="H19" s="40"/>
      <c r="I19" s="54"/>
    </row>
    <row r="20" spans="1:9" ht="15" customHeight="1" x14ac:dyDescent="0.25">
      <c r="A20" s="55"/>
      <c r="B20" s="69"/>
      <c r="C20" s="70"/>
      <c r="D20" s="70"/>
      <c r="E20" s="70"/>
      <c r="F20" s="70"/>
      <c r="G20" s="70"/>
      <c r="H20" s="70"/>
      <c r="I20" s="71"/>
    </row>
    <row r="21" spans="1:9" ht="15" customHeight="1" x14ac:dyDescent="0.25">
      <c r="A21" s="55"/>
      <c r="B21" s="7"/>
      <c r="C21" s="8"/>
      <c r="D21" s="8"/>
      <c r="E21" s="8"/>
      <c r="F21" s="8"/>
      <c r="G21" s="22"/>
      <c r="H21" s="51"/>
      <c r="I21" s="52"/>
    </row>
    <row r="22" spans="1:9" ht="15" customHeight="1" x14ac:dyDescent="0.25">
      <c r="A22" s="55"/>
      <c r="B22" s="7"/>
      <c r="C22" s="8"/>
      <c r="D22" s="8"/>
      <c r="E22" s="8"/>
      <c r="F22" s="8"/>
      <c r="G22" s="22"/>
      <c r="H22" s="51"/>
      <c r="I22" s="52"/>
    </row>
    <row r="23" spans="1:9" ht="15" customHeight="1" x14ac:dyDescent="0.25">
      <c r="A23" s="55"/>
      <c r="B23" s="7"/>
      <c r="C23" s="8"/>
      <c r="D23" s="8"/>
      <c r="E23" s="8"/>
      <c r="F23" s="8"/>
      <c r="G23" s="22"/>
      <c r="H23" s="51"/>
      <c r="I23" s="52"/>
    </row>
    <row r="24" spans="1:9" ht="15" customHeight="1" thickBot="1" x14ac:dyDescent="0.3">
      <c r="A24" s="55"/>
      <c r="B24" s="9"/>
      <c r="C24" s="10"/>
      <c r="D24" s="10"/>
      <c r="E24" s="10"/>
      <c r="F24" s="10"/>
      <c r="G24" s="31"/>
      <c r="H24" s="53"/>
      <c r="I24" s="54"/>
    </row>
    <row r="25" spans="1:9" ht="15" customHeight="1" x14ac:dyDescent="0.25">
      <c r="A25" s="55"/>
      <c r="B25" s="46"/>
      <c r="C25" s="47"/>
      <c r="D25" s="47"/>
      <c r="E25" s="47"/>
      <c r="F25" s="47"/>
      <c r="G25" s="47"/>
      <c r="H25" s="47"/>
      <c r="I25" s="48"/>
    </row>
    <row r="26" spans="1:9" ht="15" customHeight="1" x14ac:dyDescent="0.25">
      <c r="A26" s="55"/>
      <c r="B26" s="30"/>
      <c r="C26" s="3"/>
      <c r="D26" s="3"/>
      <c r="E26" s="3"/>
      <c r="F26" s="3"/>
      <c r="G26" s="3"/>
      <c r="H26" s="49"/>
      <c r="I26" s="41"/>
    </row>
    <row r="27" spans="1:9" ht="15" customHeight="1" thickBot="1" x14ac:dyDescent="0.3">
      <c r="A27" s="55"/>
      <c r="B27" s="25"/>
      <c r="C27" s="16"/>
      <c r="D27" s="16"/>
      <c r="E27" s="16"/>
      <c r="F27" s="16"/>
      <c r="G27" s="16"/>
      <c r="H27" s="50"/>
      <c r="I27" s="42"/>
    </row>
    <row r="28" spans="1:9" ht="15" customHeight="1" x14ac:dyDescent="0.25">
      <c r="A28" s="55"/>
      <c r="B28" s="34"/>
      <c r="C28" s="35"/>
      <c r="D28" s="35"/>
      <c r="E28" s="35"/>
      <c r="F28" s="35"/>
      <c r="G28" s="35"/>
      <c r="H28" s="35"/>
      <c r="I28" s="36"/>
    </row>
    <row r="29" spans="1:9" ht="15" customHeight="1" x14ac:dyDescent="0.25">
      <c r="A29" s="55"/>
      <c r="B29" s="30"/>
      <c r="C29" s="3"/>
      <c r="D29" s="3"/>
      <c r="E29" s="3"/>
      <c r="F29" s="3"/>
      <c r="G29" s="3"/>
      <c r="H29" s="49"/>
      <c r="I29" s="41"/>
    </row>
    <row r="30" spans="1:9" ht="15" customHeight="1" thickBot="1" x14ac:dyDescent="0.3">
      <c r="A30" s="55"/>
      <c r="B30" s="25"/>
      <c r="C30" s="14"/>
      <c r="D30" s="14"/>
      <c r="E30" s="14"/>
      <c r="F30" s="14"/>
      <c r="G30" s="14"/>
      <c r="H30" s="50"/>
      <c r="I30" s="42"/>
    </row>
    <row r="31" spans="1:9" ht="15" customHeight="1" x14ac:dyDescent="0.25">
      <c r="A31" s="55"/>
      <c r="B31" s="34"/>
      <c r="C31" s="35"/>
      <c r="D31" s="35"/>
      <c r="E31" s="35"/>
      <c r="F31" s="35"/>
      <c r="G31" s="35"/>
      <c r="H31" s="35"/>
      <c r="I31" s="36"/>
    </row>
    <row r="32" spans="1:9" ht="15" customHeight="1" x14ac:dyDescent="0.25">
      <c r="A32" s="55"/>
      <c r="B32" s="30"/>
      <c r="C32" s="3"/>
      <c r="D32" s="3"/>
      <c r="E32" s="3"/>
      <c r="F32" s="3"/>
      <c r="G32" s="3"/>
      <c r="H32" s="49"/>
      <c r="I32" s="41"/>
    </row>
    <row r="33" spans="1:9" ht="15" customHeight="1" thickBot="1" x14ac:dyDescent="0.3">
      <c r="A33" s="55"/>
      <c r="B33" s="13"/>
      <c r="C33" s="14"/>
      <c r="D33" s="14"/>
      <c r="E33" s="14"/>
      <c r="F33" s="14"/>
      <c r="G33" s="14"/>
      <c r="H33" s="50"/>
      <c r="I33" s="42"/>
    </row>
    <row r="34" spans="1:9" ht="15" customHeight="1" x14ac:dyDescent="0.25">
      <c r="A34" s="55"/>
      <c r="B34" s="46"/>
      <c r="C34" s="47"/>
      <c r="D34" s="47"/>
      <c r="E34" s="47"/>
      <c r="F34" s="47"/>
      <c r="G34" s="47"/>
      <c r="H34" s="47"/>
      <c r="I34" s="48"/>
    </row>
    <row r="35" spans="1:9" ht="15" customHeight="1" x14ac:dyDescent="0.25">
      <c r="A35" s="55"/>
      <c r="B35" s="25"/>
      <c r="C35" s="26"/>
      <c r="D35" s="26"/>
      <c r="E35" s="26"/>
      <c r="F35" s="26"/>
      <c r="G35" s="26"/>
      <c r="H35" s="49"/>
      <c r="I35" s="41"/>
    </row>
    <row r="36" spans="1:9" ht="15" customHeight="1" thickBot="1" x14ac:dyDescent="0.3">
      <c r="A36" s="55"/>
      <c r="B36" s="43"/>
      <c r="C36" s="44"/>
      <c r="D36" s="44"/>
      <c r="E36" s="44"/>
      <c r="F36" s="45"/>
      <c r="G36" s="14"/>
      <c r="H36" s="50"/>
      <c r="I36" s="42"/>
    </row>
    <row r="37" spans="1:9" ht="15" customHeight="1" x14ac:dyDescent="0.25">
      <c r="A37" s="55"/>
      <c r="B37" s="34"/>
      <c r="C37" s="35"/>
      <c r="D37" s="35"/>
      <c r="E37" s="35"/>
      <c r="F37" s="35"/>
      <c r="G37" s="35"/>
      <c r="H37" s="35"/>
      <c r="I37" s="36"/>
    </row>
    <row r="38" spans="1:9" ht="15" customHeight="1" x14ac:dyDescent="0.25">
      <c r="A38" s="55"/>
      <c r="B38" s="25"/>
      <c r="C38" s="26"/>
      <c r="D38" s="26"/>
      <c r="E38" s="26"/>
      <c r="F38" s="26"/>
      <c r="G38" s="26"/>
      <c r="H38" s="39"/>
      <c r="I38" s="41"/>
    </row>
    <row r="39" spans="1:9" ht="15" customHeight="1" thickBot="1" x14ac:dyDescent="0.3">
      <c r="A39" s="55"/>
      <c r="B39" s="43"/>
      <c r="C39" s="44"/>
      <c r="D39" s="44"/>
      <c r="E39" s="44"/>
      <c r="F39" s="45"/>
      <c r="G39" s="14"/>
      <c r="H39" s="40"/>
      <c r="I39" s="42"/>
    </row>
    <row r="40" spans="1:9" ht="15" customHeight="1" x14ac:dyDescent="0.25">
      <c r="A40" s="55"/>
      <c r="B40" s="34"/>
      <c r="C40" s="35"/>
      <c r="D40" s="35"/>
      <c r="E40" s="35"/>
      <c r="F40" s="35"/>
      <c r="G40" s="35"/>
      <c r="H40" s="35"/>
      <c r="I40" s="36"/>
    </row>
    <row r="41" spans="1:9" ht="15" customHeight="1" x14ac:dyDescent="0.25">
      <c r="A41" s="55"/>
      <c r="B41" s="25"/>
      <c r="C41" s="26"/>
      <c r="D41" s="26"/>
      <c r="E41" s="26"/>
      <c r="F41" s="26"/>
      <c r="G41" s="26"/>
      <c r="H41" s="39"/>
      <c r="I41" s="41"/>
    </row>
    <row r="42" spans="1:9" ht="15" customHeight="1" thickBot="1" x14ac:dyDescent="0.3">
      <c r="A42" s="55"/>
      <c r="B42" s="43"/>
      <c r="C42" s="44"/>
      <c r="D42" s="44"/>
      <c r="E42" s="44"/>
      <c r="F42" s="45"/>
      <c r="G42" s="14"/>
      <c r="H42" s="40"/>
      <c r="I42" s="42"/>
    </row>
    <row r="43" spans="1:9" ht="15" customHeight="1" x14ac:dyDescent="0.25">
      <c r="A43" s="55"/>
      <c r="B43" s="34"/>
      <c r="C43" s="35"/>
      <c r="D43" s="35"/>
      <c r="E43" s="35"/>
      <c r="F43" s="35"/>
      <c r="G43" s="35"/>
      <c r="H43" s="35"/>
      <c r="I43" s="36"/>
    </row>
    <row r="44" spans="1:9" ht="27.75" customHeight="1" thickBot="1" x14ac:dyDescent="0.3">
      <c r="A44" s="55"/>
      <c r="B44" s="13"/>
      <c r="C44" s="27"/>
      <c r="D44" s="27"/>
      <c r="E44" s="27"/>
      <c r="F44" s="27"/>
      <c r="G44" s="27"/>
      <c r="H44" s="33"/>
      <c r="I44" s="28"/>
    </row>
    <row r="45" spans="1:9" ht="23.25" customHeight="1" x14ac:dyDescent="0.25">
      <c r="A45" s="55"/>
      <c r="B45" s="37"/>
      <c r="C45" s="37"/>
      <c r="D45" s="37"/>
      <c r="E45" s="37"/>
      <c r="F45" s="37"/>
      <c r="G45" s="37"/>
      <c r="H45" s="37"/>
      <c r="I45" s="37"/>
    </row>
    <row r="46" spans="1:9" ht="34.5" customHeight="1" x14ac:dyDescent="0.25">
      <c r="A46" s="55"/>
      <c r="B46" s="38"/>
      <c r="C46" s="38"/>
      <c r="D46" s="38"/>
      <c r="E46" s="38"/>
      <c r="F46" s="38"/>
      <c r="G46" s="38"/>
      <c r="H46" s="38"/>
      <c r="I46" s="38"/>
    </row>
  </sheetData>
  <mergeCells count="43">
    <mergeCell ref="B20:I20"/>
    <mergeCell ref="A1:A46"/>
    <mergeCell ref="B1:I1"/>
    <mergeCell ref="B2:I2"/>
    <mergeCell ref="B3:I3"/>
    <mergeCell ref="B5:I5"/>
    <mergeCell ref="H6:I9"/>
    <mergeCell ref="B10:I10"/>
    <mergeCell ref="H11:H12"/>
    <mergeCell ref="I11:I12"/>
    <mergeCell ref="B13:I13"/>
    <mergeCell ref="H14:I14"/>
    <mergeCell ref="B15:I15"/>
    <mergeCell ref="H16:I16"/>
    <mergeCell ref="H17:H19"/>
    <mergeCell ref="I17:I19"/>
    <mergeCell ref="H21:I21"/>
    <mergeCell ref="H22:H24"/>
    <mergeCell ref="I22:I24"/>
    <mergeCell ref="B25:I25"/>
    <mergeCell ref="H26:H27"/>
    <mergeCell ref="I26:I27"/>
    <mergeCell ref="H38:H39"/>
    <mergeCell ref="I38:I39"/>
    <mergeCell ref="B39:F39"/>
    <mergeCell ref="B28:I28"/>
    <mergeCell ref="H29:H30"/>
    <mergeCell ref="I29:I30"/>
    <mergeCell ref="B31:I31"/>
    <mergeCell ref="H32:H33"/>
    <mergeCell ref="I32:I33"/>
    <mergeCell ref="B34:I34"/>
    <mergeCell ref="H35:H36"/>
    <mergeCell ref="I35:I36"/>
    <mergeCell ref="B36:F36"/>
    <mergeCell ref="B37:I37"/>
    <mergeCell ref="B46:I46"/>
    <mergeCell ref="B40:I40"/>
    <mergeCell ref="H41:H42"/>
    <mergeCell ref="I41:I42"/>
    <mergeCell ref="B42:F42"/>
    <mergeCell ref="B43:I43"/>
    <mergeCell ref="B45:I4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BF01-75BC-4D2E-994A-39B3ED1FB52B}">
  <dimension ref="A1:M46"/>
  <sheetViews>
    <sheetView workbookViewId="0">
      <selection sqref="A1:XFD1048576"/>
    </sheetView>
  </sheetViews>
  <sheetFormatPr defaultRowHeight="13.2" x14ac:dyDescent="0.25"/>
  <cols>
    <col min="2" max="2" width="24.6640625" customWidth="1"/>
    <col min="3" max="3" width="14.6640625" customWidth="1"/>
    <col min="4" max="5" width="13.33203125" customWidth="1"/>
    <col min="6" max="6" width="9.44140625" customWidth="1"/>
    <col min="7" max="7" width="12.109375" customWidth="1"/>
    <col min="8" max="8" width="31.44140625" customWidth="1"/>
    <col min="9" max="9" width="20.77734375" customWidth="1"/>
  </cols>
  <sheetData>
    <row r="1" spans="1:13" x14ac:dyDescent="0.25">
      <c r="A1" s="55"/>
      <c r="B1" s="55"/>
      <c r="C1" s="55"/>
      <c r="D1" s="55"/>
      <c r="E1" s="55"/>
      <c r="F1" s="55"/>
      <c r="G1" s="55"/>
      <c r="H1" s="55"/>
      <c r="I1" s="55"/>
    </row>
    <row r="2" spans="1:13" ht="24" customHeight="1" x14ac:dyDescent="0.25">
      <c r="A2" s="55"/>
      <c r="B2" s="56"/>
      <c r="C2" s="56"/>
      <c r="D2" s="56"/>
      <c r="E2" s="56"/>
      <c r="F2" s="56"/>
      <c r="G2" s="56"/>
      <c r="H2" s="56"/>
      <c r="I2" s="56"/>
    </row>
    <row r="3" spans="1:13" ht="29.25" customHeight="1" thickBot="1" x14ac:dyDescent="0.3">
      <c r="A3" s="55"/>
      <c r="B3" s="57"/>
      <c r="C3" s="57"/>
      <c r="D3" s="57"/>
      <c r="E3" s="57"/>
      <c r="F3" s="57"/>
      <c r="G3" s="57"/>
      <c r="H3" s="57"/>
      <c r="I3" s="57"/>
    </row>
    <row r="4" spans="1:13" ht="39.75" customHeight="1" thickBot="1" x14ac:dyDescent="0.3">
      <c r="A4" s="55"/>
      <c r="B4" s="11"/>
      <c r="C4" s="12"/>
      <c r="D4" s="23"/>
      <c r="E4" s="23"/>
      <c r="F4" s="23"/>
      <c r="G4" s="23"/>
      <c r="H4" s="23"/>
      <c r="I4" s="24"/>
    </row>
    <row r="5" spans="1:13" ht="15" customHeight="1" x14ac:dyDescent="0.25">
      <c r="A5" s="55"/>
      <c r="B5" s="58"/>
      <c r="C5" s="59"/>
      <c r="D5" s="59"/>
      <c r="E5" s="59"/>
      <c r="F5" s="59"/>
      <c r="G5" s="59"/>
      <c r="H5" s="59"/>
      <c r="I5" s="60"/>
    </row>
    <row r="6" spans="1:13" ht="15" customHeight="1" x14ac:dyDescent="0.25">
      <c r="A6" s="55"/>
      <c r="B6" s="7"/>
      <c r="C6" s="3"/>
      <c r="D6" s="3"/>
      <c r="E6" s="3"/>
      <c r="F6" s="3"/>
      <c r="G6" s="19"/>
      <c r="H6" s="61"/>
      <c r="I6" s="62"/>
    </row>
    <row r="7" spans="1:13" ht="15" customHeight="1" x14ac:dyDescent="0.25">
      <c r="A7" s="55"/>
      <c r="B7" s="7"/>
      <c r="C7" s="32"/>
      <c r="D7" s="32"/>
      <c r="E7" s="3"/>
      <c r="F7" s="3"/>
      <c r="G7" s="19"/>
      <c r="H7" s="63"/>
      <c r="I7" s="64"/>
    </row>
    <row r="8" spans="1:13" ht="15" customHeight="1" x14ac:dyDescent="0.25">
      <c r="A8" s="55"/>
      <c r="B8" s="15"/>
      <c r="C8" s="17"/>
      <c r="D8" s="8"/>
      <c r="E8" s="18"/>
      <c r="F8" s="3"/>
      <c r="G8" s="20"/>
      <c r="H8" s="63"/>
      <c r="I8" s="64"/>
      <c r="M8" s="29"/>
    </row>
    <row r="9" spans="1:13" ht="15" customHeight="1" thickBot="1" x14ac:dyDescent="0.3">
      <c r="A9" s="55"/>
      <c r="B9" s="9"/>
      <c r="C9" s="10"/>
      <c r="D9" s="14"/>
      <c r="E9" s="14"/>
      <c r="F9" s="14"/>
      <c r="G9" s="21"/>
      <c r="H9" s="65"/>
      <c r="I9" s="66"/>
    </row>
    <row r="10" spans="1:13" ht="15" customHeight="1" x14ac:dyDescent="0.25">
      <c r="A10" s="55"/>
      <c r="B10" s="58"/>
      <c r="C10" s="59"/>
      <c r="D10" s="59"/>
      <c r="E10" s="59"/>
      <c r="F10" s="59"/>
      <c r="G10" s="59"/>
      <c r="H10" s="59"/>
      <c r="I10" s="60"/>
    </row>
    <row r="11" spans="1:13" ht="15" customHeight="1" x14ac:dyDescent="0.25">
      <c r="A11" s="55"/>
      <c r="B11" s="7"/>
      <c r="C11" s="3"/>
      <c r="D11" s="3"/>
      <c r="E11" s="3"/>
      <c r="F11" s="3"/>
      <c r="G11" s="19"/>
      <c r="H11" s="39"/>
      <c r="I11" s="67"/>
    </row>
    <row r="12" spans="1:13" ht="15" customHeight="1" thickBot="1" x14ac:dyDescent="0.3">
      <c r="A12" s="55"/>
      <c r="B12" s="9"/>
      <c r="C12" s="14"/>
      <c r="D12" s="14"/>
      <c r="E12" s="14"/>
      <c r="F12" s="14"/>
      <c r="G12" s="21"/>
      <c r="H12" s="40"/>
      <c r="I12" s="68"/>
    </row>
    <row r="13" spans="1:13" ht="15" customHeight="1" x14ac:dyDescent="0.25">
      <c r="A13" s="55"/>
      <c r="B13" s="69"/>
      <c r="C13" s="70"/>
      <c r="D13" s="70"/>
      <c r="E13" s="70"/>
      <c r="F13" s="70"/>
      <c r="G13" s="70"/>
      <c r="H13" s="70"/>
      <c r="I13" s="71"/>
    </row>
    <row r="14" spans="1:13" ht="15" customHeight="1" thickBot="1" x14ac:dyDescent="0.3">
      <c r="A14" s="55"/>
      <c r="B14" s="9"/>
      <c r="C14" s="14"/>
      <c r="D14" s="14"/>
      <c r="E14" s="14"/>
      <c r="F14" s="14"/>
      <c r="G14" s="21"/>
      <c r="H14" s="72"/>
      <c r="I14" s="73"/>
    </row>
    <row r="15" spans="1:13" ht="15" customHeight="1" x14ac:dyDescent="0.25">
      <c r="A15" s="55"/>
      <c r="B15" s="58"/>
      <c r="C15" s="59"/>
      <c r="D15" s="59"/>
      <c r="E15" s="59"/>
      <c r="F15" s="59"/>
      <c r="G15" s="59"/>
      <c r="H15" s="59"/>
      <c r="I15" s="60"/>
    </row>
    <row r="16" spans="1:13" ht="15" customHeight="1" x14ac:dyDescent="0.25">
      <c r="A16" s="55"/>
      <c r="B16" s="7"/>
      <c r="C16" s="3"/>
      <c r="D16" s="3"/>
      <c r="E16" s="3"/>
      <c r="F16" s="3"/>
      <c r="G16" s="19"/>
      <c r="H16" s="51"/>
      <c r="I16" s="52"/>
    </row>
    <row r="17" spans="1:9" ht="20.100000000000001" customHeight="1" x14ac:dyDescent="0.25">
      <c r="A17" s="55"/>
      <c r="B17" s="7"/>
      <c r="C17" s="3"/>
      <c r="D17" s="3"/>
      <c r="E17" s="3"/>
      <c r="F17" s="3"/>
      <c r="G17" s="19"/>
      <c r="H17" s="74"/>
      <c r="I17" s="52"/>
    </row>
    <row r="18" spans="1:9" ht="20.100000000000001" customHeight="1" x14ac:dyDescent="0.25">
      <c r="A18" s="55"/>
      <c r="B18" s="7"/>
      <c r="C18" s="3"/>
      <c r="D18" s="3"/>
      <c r="E18" s="3"/>
      <c r="F18" s="3"/>
      <c r="G18" s="19"/>
      <c r="H18" s="75"/>
      <c r="I18" s="52"/>
    </row>
    <row r="19" spans="1:9" ht="20.100000000000001" customHeight="1" thickBot="1" x14ac:dyDescent="0.3">
      <c r="A19" s="55"/>
      <c r="B19" s="9"/>
      <c r="C19" s="10"/>
      <c r="D19" s="14"/>
      <c r="E19" s="14"/>
      <c r="F19" s="14"/>
      <c r="G19" s="21"/>
      <c r="H19" s="40"/>
      <c r="I19" s="54"/>
    </row>
    <row r="20" spans="1:9" ht="15" customHeight="1" x14ac:dyDescent="0.25">
      <c r="A20" s="55"/>
      <c r="B20" s="69"/>
      <c r="C20" s="70"/>
      <c r="D20" s="70"/>
      <c r="E20" s="70"/>
      <c r="F20" s="70"/>
      <c r="G20" s="70"/>
      <c r="H20" s="70"/>
      <c r="I20" s="71"/>
    </row>
    <row r="21" spans="1:9" ht="15" customHeight="1" x14ac:dyDescent="0.25">
      <c r="A21" s="55"/>
      <c r="B21" s="7"/>
      <c r="C21" s="8"/>
      <c r="D21" s="8"/>
      <c r="E21" s="8"/>
      <c r="F21" s="8"/>
      <c r="G21" s="22"/>
      <c r="H21" s="51"/>
      <c r="I21" s="52"/>
    </row>
    <row r="22" spans="1:9" ht="15" customHeight="1" x14ac:dyDescent="0.25">
      <c r="A22" s="55"/>
      <c r="B22" s="7"/>
      <c r="C22" s="8"/>
      <c r="D22" s="8"/>
      <c r="E22" s="8"/>
      <c r="F22" s="8"/>
      <c r="G22" s="22"/>
      <c r="H22" s="51"/>
      <c r="I22" s="52"/>
    </row>
    <row r="23" spans="1:9" ht="15" customHeight="1" x14ac:dyDescent="0.25">
      <c r="A23" s="55"/>
      <c r="B23" s="7"/>
      <c r="C23" s="8"/>
      <c r="D23" s="8"/>
      <c r="E23" s="8"/>
      <c r="F23" s="8"/>
      <c r="G23" s="22"/>
      <c r="H23" s="51"/>
      <c r="I23" s="52"/>
    </row>
    <row r="24" spans="1:9" ht="15" customHeight="1" thickBot="1" x14ac:dyDescent="0.3">
      <c r="A24" s="55"/>
      <c r="B24" s="9"/>
      <c r="C24" s="10"/>
      <c r="D24" s="10"/>
      <c r="E24" s="10"/>
      <c r="F24" s="10"/>
      <c r="G24" s="31"/>
      <c r="H24" s="53"/>
      <c r="I24" s="54"/>
    </row>
    <row r="25" spans="1:9" ht="15" customHeight="1" x14ac:dyDescent="0.25">
      <c r="A25" s="55"/>
      <c r="B25" s="46"/>
      <c r="C25" s="47"/>
      <c r="D25" s="47"/>
      <c r="E25" s="47"/>
      <c r="F25" s="47"/>
      <c r="G25" s="47"/>
      <c r="H25" s="47"/>
      <c r="I25" s="48"/>
    </row>
    <row r="26" spans="1:9" ht="15" customHeight="1" x14ac:dyDescent="0.25">
      <c r="A26" s="55"/>
      <c r="B26" s="30"/>
      <c r="C26" s="3"/>
      <c r="D26" s="3"/>
      <c r="E26" s="3"/>
      <c r="F26" s="3"/>
      <c r="G26" s="3"/>
      <c r="H26" s="49"/>
      <c r="I26" s="41"/>
    </row>
    <row r="27" spans="1:9" ht="15" customHeight="1" thickBot="1" x14ac:dyDescent="0.3">
      <c r="A27" s="55"/>
      <c r="B27" s="25"/>
      <c r="C27" s="16"/>
      <c r="D27" s="16"/>
      <c r="E27" s="16"/>
      <c r="F27" s="16"/>
      <c r="G27" s="16"/>
      <c r="H27" s="50"/>
      <c r="I27" s="42"/>
    </row>
    <row r="28" spans="1:9" ht="15" customHeight="1" x14ac:dyDescent="0.25">
      <c r="A28" s="55"/>
      <c r="B28" s="34"/>
      <c r="C28" s="35"/>
      <c r="D28" s="35"/>
      <c r="E28" s="35"/>
      <c r="F28" s="35"/>
      <c r="G28" s="35"/>
      <c r="H28" s="35"/>
      <c r="I28" s="36"/>
    </row>
    <row r="29" spans="1:9" ht="15" customHeight="1" x14ac:dyDescent="0.25">
      <c r="A29" s="55"/>
      <c r="B29" s="30"/>
      <c r="C29" s="3"/>
      <c r="D29" s="3"/>
      <c r="E29" s="3"/>
      <c r="F29" s="3"/>
      <c r="G29" s="3"/>
      <c r="H29" s="49"/>
      <c r="I29" s="41"/>
    </row>
    <row r="30" spans="1:9" ht="15" customHeight="1" thickBot="1" x14ac:dyDescent="0.3">
      <c r="A30" s="55"/>
      <c r="B30" s="25"/>
      <c r="C30" s="14"/>
      <c r="D30" s="14"/>
      <c r="E30" s="14"/>
      <c r="F30" s="14"/>
      <c r="G30" s="14"/>
      <c r="H30" s="50"/>
      <c r="I30" s="42"/>
    </row>
    <row r="31" spans="1:9" ht="15" customHeight="1" x14ac:dyDescent="0.25">
      <c r="A31" s="55"/>
      <c r="B31" s="34"/>
      <c r="C31" s="35"/>
      <c r="D31" s="35"/>
      <c r="E31" s="35"/>
      <c r="F31" s="35"/>
      <c r="G31" s="35"/>
      <c r="H31" s="35"/>
      <c r="I31" s="36"/>
    </row>
    <row r="32" spans="1:9" ht="15" customHeight="1" x14ac:dyDescent="0.25">
      <c r="A32" s="55"/>
      <c r="B32" s="30"/>
      <c r="C32" s="3"/>
      <c r="D32" s="3"/>
      <c r="E32" s="3"/>
      <c r="F32" s="3"/>
      <c r="G32" s="3"/>
      <c r="H32" s="49"/>
      <c r="I32" s="41"/>
    </row>
    <row r="33" spans="1:9" ht="15" customHeight="1" thickBot="1" x14ac:dyDescent="0.3">
      <c r="A33" s="55"/>
      <c r="B33" s="13"/>
      <c r="C33" s="14"/>
      <c r="D33" s="14"/>
      <c r="E33" s="14"/>
      <c r="F33" s="14"/>
      <c r="G33" s="14"/>
      <c r="H33" s="50"/>
      <c r="I33" s="42"/>
    </row>
    <row r="34" spans="1:9" ht="15" customHeight="1" x14ac:dyDescent="0.25">
      <c r="A34" s="55"/>
      <c r="B34" s="46"/>
      <c r="C34" s="47"/>
      <c r="D34" s="47"/>
      <c r="E34" s="47"/>
      <c r="F34" s="47"/>
      <c r="G34" s="47"/>
      <c r="H34" s="47"/>
      <c r="I34" s="48"/>
    </row>
    <row r="35" spans="1:9" ht="15" customHeight="1" x14ac:dyDescent="0.25">
      <c r="A35" s="55"/>
      <c r="B35" s="25"/>
      <c r="C35" s="26"/>
      <c r="D35" s="26"/>
      <c r="E35" s="26"/>
      <c r="F35" s="26"/>
      <c r="G35" s="26"/>
      <c r="H35" s="49"/>
      <c r="I35" s="41"/>
    </row>
    <row r="36" spans="1:9" ht="15" customHeight="1" thickBot="1" x14ac:dyDescent="0.3">
      <c r="A36" s="55"/>
      <c r="B36" s="43"/>
      <c r="C36" s="44"/>
      <c r="D36" s="44"/>
      <c r="E36" s="44"/>
      <c r="F36" s="45"/>
      <c r="G36" s="14"/>
      <c r="H36" s="50"/>
      <c r="I36" s="42"/>
    </row>
    <row r="37" spans="1:9" ht="15" customHeight="1" x14ac:dyDescent="0.25">
      <c r="A37" s="55"/>
      <c r="B37" s="34"/>
      <c r="C37" s="35"/>
      <c r="D37" s="35"/>
      <c r="E37" s="35"/>
      <c r="F37" s="35"/>
      <c r="G37" s="35"/>
      <c r="H37" s="35"/>
      <c r="I37" s="36"/>
    </row>
    <row r="38" spans="1:9" ht="15" customHeight="1" x14ac:dyDescent="0.25">
      <c r="A38" s="55"/>
      <c r="B38" s="25"/>
      <c r="C38" s="26"/>
      <c r="D38" s="26"/>
      <c r="E38" s="26"/>
      <c r="F38" s="26"/>
      <c r="G38" s="26"/>
      <c r="H38" s="39"/>
      <c r="I38" s="41"/>
    </row>
    <row r="39" spans="1:9" ht="15" customHeight="1" thickBot="1" x14ac:dyDescent="0.3">
      <c r="A39" s="55"/>
      <c r="B39" s="43"/>
      <c r="C39" s="44"/>
      <c r="D39" s="44"/>
      <c r="E39" s="44"/>
      <c r="F39" s="45"/>
      <c r="G39" s="14"/>
      <c r="H39" s="40"/>
      <c r="I39" s="42"/>
    </row>
    <row r="40" spans="1:9" ht="15" customHeight="1" x14ac:dyDescent="0.25">
      <c r="A40" s="55"/>
      <c r="B40" s="34"/>
      <c r="C40" s="35"/>
      <c r="D40" s="35"/>
      <c r="E40" s="35"/>
      <c r="F40" s="35"/>
      <c r="G40" s="35"/>
      <c r="H40" s="35"/>
      <c r="I40" s="36"/>
    </row>
    <row r="41" spans="1:9" ht="15" customHeight="1" x14ac:dyDescent="0.25">
      <c r="A41" s="55"/>
      <c r="B41" s="25"/>
      <c r="C41" s="26"/>
      <c r="D41" s="26"/>
      <c r="E41" s="26"/>
      <c r="F41" s="26"/>
      <c r="G41" s="26"/>
      <c r="H41" s="39"/>
      <c r="I41" s="41"/>
    </row>
    <row r="42" spans="1:9" ht="15" customHeight="1" thickBot="1" x14ac:dyDescent="0.3">
      <c r="A42" s="55"/>
      <c r="B42" s="43"/>
      <c r="C42" s="44"/>
      <c r="D42" s="44"/>
      <c r="E42" s="44"/>
      <c r="F42" s="45"/>
      <c r="G42" s="14"/>
      <c r="H42" s="40"/>
      <c r="I42" s="42"/>
    </row>
    <row r="43" spans="1:9" ht="15" customHeight="1" x14ac:dyDescent="0.25">
      <c r="A43" s="55"/>
      <c r="B43" s="34"/>
      <c r="C43" s="35"/>
      <c r="D43" s="35"/>
      <c r="E43" s="35"/>
      <c r="F43" s="35"/>
      <c r="G43" s="35"/>
      <c r="H43" s="35"/>
      <c r="I43" s="36"/>
    </row>
    <row r="44" spans="1:9" ht="27.75" customHeight="1" thickBot="1" x14ac:dyDescent="0.3">
      <c r="A44" s="55"/>
      <c r="B44" s="13"/>
      <c r="C44" s="27"/>
      <c r="D44" s="27"/>
      <c r="E44" s="27"/>
      <c r="F44" s="27"/>
      <c r="G44" s="27"/>
      <c r="H44" s="33"/>
      <c r="I44" s="28"/>
    </row>
    <row r="45" spans="1:9" ht="23.25" customHeight="1" x14ac:dyDescent="0.25">
      <c r="A45" s="55"/>
      <c r="B45" s="37"/>
      <c r="C45" s="37"/>
      <c r="D45" s="37"/>
      <c r="E45" s="37"/>
      <c r="F45" s="37"/>
      <c r="G45" s="37"/>
      <c r="H45" s="37"/>
      <c r="I45" s="37"/>
    </row>
    <row r="46" spans="1:9" ht="34.5" customHeight="1" x14ac:dyDescent="0.25">
      <c r="A46" s="55"/>
      <c r="B46" s="38"/>
      <c r="C46" s="38"/>
      <c r="D46" s="38"/>
      <c r="E46" s="38"/>
      <c r="F46" s="38"/>
      <c r="G46" s="38"/>
      <c r="H46" s="38"/>
      <c r="I46" s="38"/>
    </row>
  </sheetData>
  <mergeCells count="43">
    <mergeCell ref="B20:I20"/>
    <mergeCell ref="A1:A46"/>
    <mergeCell ref="B1:I1"/>
    <mergeCell ref="B2:I2"/>
    <mergeCell ref="B3:I3"/>
    <mergeCell ref="B5:I5"/>
    <mergeCell ref="H6:I9"/>
    <mergeCell ref="B10:I10"/>
    <mergeCell ref="H11:H12"/>
    <mergeCell ref="I11:I12"/>
    <mergeCell ref="B13:I13"/>
    <mergeCell ref="H14:I14"/>
    <mergeCell ref="B15:I15"/>
    <mergeCell ref="H16:I16"/>
    <mergeCell ref="H17:H19"/>
    <mergeCell ref="I17:I19"/>
    <mergeCell ref="H21:I21"/>
    <mergeCell ref="H22:H24"/>
    <mergeCell ref="I22:I24"/>
    <mergeCell ref="B25:I25"/>
    <mergeCell ref="H26:H27"/>
    <mergeCell ref="I26:I27"/>
    <mergeCell ref="H38:H39"/>
    <mergeCell ref="I38:I39"/>
    <mergeCell ref="B39:F39"/>
    <mergeCell ref="B28:I28"/>
    <mergeCell ref="H29:H30"/>
    <mergeCell ref="I29:I30"/>
    <mergeCell ref="B31:I31"/>
    <mergeCell ref="H32:H33"/>
    <mergeCell ref="I32:I33"/>
    <mergeCell ref="B34:I34"/>
    <mergeCell ref="H35:H36"/>
    <mergeCell ref="I35:I36"/>
    <mergeCell ref="B36:F36"/>
    <mergeCell ref="B37:I37"/>
    <mergeCell ref="B46:I46"/>
    <mergeCell ref="B40:I40"/>
    <mergeCell ref="H41:H42"/>
    <mergeCell ref="I41:I42"/>
    <mergeCell ref="B42:F42"/>
    <mergeCell ref="B43:I43"/>
    <mergeCell ref="B45:I4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C3D2-4F9A-44BD-9CD5-CA8C89B7C67D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6 &amp; 7 COLOUR PRINTING ROLLER</vt:lpstr>
      <vt:lpstr>01.07.2026</vt:lpstr>
      <vt:lpstr>04.07.2026</vt:lpstr>
      <vt:lpstr>05.07.2026</vt:lpstr>
      <vt:lpstr>06.07.2026</vt:lpstr>
      <vt:lpstr>07.07.2026</vt:lpstr>
      <vt:lpstr>08.07.2026</vt:lpstr>
      <vt:lpstr>13.07.2026</vt:lpstr>
      <vt:lpstr>14.07.2026</vt:lpstr>
      <vt:lpstr>15.07.2026</vt:lpstr>
      <vt:lpstr>16.07.2026</vt:lpstr>
      <vt:lpstr>24.06.2026</vt:lpstr>
      <vt:lpstr>25.06.2026</vt:lpstr>
      <vt:lpstr>26.06.2026</vt:lpstr>
      <vt:lpstr>27.06.2026</vt:lpstr>
      <vt:lpstr>30.06.2026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Machine Maintenance_MJ Global_Accheja.xlsx</dc:title>
  <dc:creator>M J Global Pvt Ltd</dc:creator>
  <cp:lastModifiedBy>Prabhav Goel</cp:lastModifiedBy>
  <cp:lastPrinted>2026-07-01T11:09:04Z</cp:lastPrinted>
  <dcterms:created xsi:type="dcterms:W3CDTF">2022-07-04T12:04:58Z</dcterms:created>
  <dcterms:modified xsi:type="dcterms:W3CDTF">2026-08-06T11:02:31Z</dcterms:modified>
</cp:coreProperties>
</file>